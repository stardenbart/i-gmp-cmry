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Z:\GMP, 5R, dan Personal Hygiene\"/>
    </mc:Choice>
  </mc:AlternateContent>
  <xr:revisionPtr revIDLastSave="105" documentId="8_{A62F18B5-0A2F-4B49-9865-D9A23AB7D852}" xr6:coauthVersionLast="47" xr6:coauthVersionMax="47" xr10:uidLastSave="{A45A207F-733B-48FB-BCAE-59C330C9818F}"/>
  <bookViews>
    <workbookView xWindow="-108" yWindow="-108" windowWidth="23256" windowHeight="13896" tabRatio="813" xr2:uid="{02ADA985-C8ED-415D-AB3A-D15A4C72B4B9}"/>
  </bookViews>
  <sheets>
    <sheet name="Rev 00" sheetId="5" r:id="rId1"/>
  </sheets>
  <definedNames>
    <definedName name="_xlnm.Print_Area" localSheetId="0">'Rev 00'!$A$1:$M$62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5" l="1"/>
  <c r="I60" i="5"/>
  <c r="G60" i="5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</calcChain>
</file>

<file path=xl/sharedStrings.xml><?xml version="1.0" encoding="utf-8"?>
<sst xmlns="http://schemas.openxmlformats.org/spreadsheetml/2006/main" count="155" uniqueCount="154">
  <si>
    <t>PT CISARUA MOUNTAIN DAIRY TBK 
PLANT SENTUL</t>
  </si>
  <si>
    <t>No. Dokumen</t>
  </si>
  <si>
    <t>: CMD/FRM/QAD/11-02</t>
  </si>
  <si>
    <t>Revisi</t>
  </si>
  <si>
    <t>: 00</t>
  </si>
  <si>
    <t>Form</t>
  </si>
  <si>
    <t>Berlaku</t>
  </si>
  <si>
    <t>: 12 Januari 2026</t>
  </si>
  <si>
    <t>INSPEKSI GMP (BASIC) - Area Lab &amp; Inline</t>
  </si>
  <si>
    <t xml:space="preserve">Halaman </t>
  </si>
  <si>
    <t>: 1 dari 1</t>
  </si>
  <si>
    <t>Tanggal</t>
  </si>
  <si>
    <t>Area</t>
  </si>
  <si>
    <t>Lab Pyschem CMD 1 - Quality Control</t>
  </si>
  <si>
    <t>PIC</t>
  </si>
  <si>
    <t>Abdullah Farauk</t>
  </si>
  <si>
    <t>No.</t>
  </si>
  <si>
    <t>Aspek</t>
  </si>
  <si>
    <t>Detail</t>
  </si>
  <si>
    <t>UraianID</t>
  </si>
  <si>
    <t>Uraian</t>
  </si>
  <si>
    <t>Nilai</t>
  </si>
  <si>
    <t>Total Nilai</t>
  </si>
  <si>
    <t>Total Temuan</t>
  </si>
  <si>
    <t>Visual Gambar</t>
  </si>
  <si>
    <t>Keterangan</t>
  </si>
  <si>
    <t>Follow Up</t>
  </si>
  <si>
    <t>Due Date</t>
  </si>
  <si>
    <t>0 / 2</t>
  </si>
  <si>
    <t>Personil</t>
  </si>
  <si>
    <t>Personal Hygiene</t>
  </si>
  <si>
    <t>QCXY001</t>
  </si>
  <si>
    <t xml:space="preserve">Karyawan dalam kondisi sehat saat bekerja </t>
  </si>
  <si>
    <t>QCXY002</t>
  </si>
  <si>
    <t>Karyawan tidak mengenakan perhiasan seperti kalung, cincin, gelang dan aksesoris lainnya</t>
  </si>
  <si>
    <t>QCXY003</t>
  </si>
  <si>
    <t xml:space="preserve">Karyawan mengenakan pakaian kerja dan APD sesuai dengan yang telah ditentukan dan dengan cara pemakaian yang benar </t>
  </si>
  <si>
    <t>QCXY004</t>
  </si>
  <si>
    <t xml:space="preserve">Semua karyawan mengikuti aturan standar yang telah ditentukan terkait rambut, kuku, kumis, jenggot, brewok, kerudung, cat kuku, bulu mata palsu dan penggunaan parfume atau obat gosok secara berlebihan </t>
  </si>
  <si>
    <t>QCXY005</t>
  </si>
  <si>
    <t xml:space="preserve">Dilarang membawa makanan dan minuman selain air mineral ke area laboratorium </t>
  </si>
  <si>
    <t>Fasilitas</t>
  </si>
  <si>
    <t>Wastafel</t>
  </si>
  <si>
    <t>QCXY006</t>
  </si>
  <si>
    <t xml:space="preserve">Terdapat sign petunjuk standar cuci tangan </t>
  </si>
  <si>
    <t>QCXY007</t>
  </si>
  <si>
    <t xml:space="preserve">Saluran pembuangan lancar, tidak tersumbat dan bocor </t>
  </si>
  <si>
    <t>QCXY008</t>
  </si>
  <si>
    <t xml:space="preserve">Keran air berfungsi dengan baik </t>
  </si>
  <si>
    <t>QCXY009</t>
  </si>
  <si>
    <t xml:space="preserve">Kondisi wastafel terawat dan tidak menjadi sumber hama </t>
  </si>
  <si>
    <t>QCXY010</t>
  </si>
  <si>
    <t xml:space="preserve">Fasilitas cuci dan sanitasi tersedia (sabun, tissue / dryer) </t>
  </si>
  <si>
    <t>QCXY011</t>
  </si>
  <si>
    <t xml:space="preserve">Tidak tercium bau  menyengat / aroma tidak sedap </t>
  </si>
  <si>
    <t xml:space="preserve">Alat Kebersihan </t>
  </si>
  <si>
    <t>QCXY012</t>
  </si>
  <si>
    <t xml:space="preserve">Penyediaan tempat penyimpanan dan pemberian identitas </t>
  </si>
  <si>
    <t>QCXY013</t>
  </si>
  <si>
    <t xml:space="preserve">Alat berfungsi dengan baik, terbuat dari bahan yang dapat meminimalisir potensi physical hazard </t>
  </si>
  <si>
    <t>QCXY014</t>
  </si>
  <si>
    <t xml:space="preserve">Alat disimpan dalam keadaan bersih </t>
  </si>
  <si>
    <t>QCXY015</t>
  </si>
  <si>
    <t xml:space="preserve">Desain tempat sampah tertutup dan handsfree </t>
  </si>
  <si>
    <t>Lingkungan</t>
  </si>
  <si>
    <t>QCXY016</t>
  </si>
  <si>
    <t>Ruangan bersih, rapi dan mudah dibersihkan</t>
  </si>
  <si>
    <t>QCXY017</t>
  </si>
  <si>
    <t>Terdapat alat untuk memonitoring suhu dan kelembapan</t>
  </si>
  <si>
    <t>QCXY018</t>
  </si>
  <si>
    <t xml:space="preserve">Hanya barang yang diperuntukan berada di area laboratorium </t>
  </si>
  <si>
    <t>QCXY019</t>
  </si>
  <si>
    <t xml:space="preserve">Laboratorium diberikan label identas area </t>
  </si>
  <si>
    <t>QCXY020</t>
  </si>
  <si>
    <t>Terdapat record pencatatan cleaning</t>
  </si>
  <si>
    <t xml:space="preserve">Akses Kontrol </t>
  </si>
  <si>
    <t>QCXY021</t>
  </si>
  <si>
    <t>Kontrol akses berfungsi dengan baik</t>
  </si>
  <si>
    <t>Instrumen</t>
  </si>
  <si>
    <t>Peralatan</t>
  </si>
  <si>
    <t>QCXY022</t>
  </si>
  <si>
    <t xml:space="preserve">Semua peralatan terawat dan berfungsi dengan baik </t>
  </si>
  <si>
    <t>QCXY023</t>
  </si>
  <si>
    <t>Bahan material dapat meminimalisir potensi bahaya dan disimpan diatas palet</t>
  </si>
  <si>
    <t>QCXY024</t>
  </si>
  <si>
    <t>Peralatan terawat dengan baik, tidak ada aksesoris tambahan yang tidak semestinya seperti solatip, tali rafia lakban dan sebagainya</t>
  </si>
  <si>
    <t>Chiller</t>
  </si>
  <si>
    <t>QCXY025</t>
  </si>
  <si>
    <t>Dilengkapi dengan penunjukan suhu</t>
  </si>
  <si>
    <t>QCXY026</t>
  </si>
  <si>
    <t xml:space="preserve">Terdapat record pencatatan penunjukan suhu </t>
  </si>
  <si>
    <t>QCXY027</t>
  </si>
  <si>
    <t xml:space="preserve">Penyimpanan barang sesuai dengan requirement </t>
  </si>
  <si>
    <t xml:space="preserve">Konstruksi dan  Infrastuktur Bangunan </t>
  </si>
  <si>
    <t xml:space="preserve">Konstruksi </t>
  </si>
  <si>
    <t>QCXY028</t>
  </si>
  <si>
    <t>Struktur bangunan sementara atau yang sedang dalam pembangunan tidak menjadi sumber kontaminan seperti debu, asap , material disimpan dengan rapi, tidak menjadi tempat resting pest</t>
  </si>
  <si>
    <t>QCXY029</t>
  </si>
  <si>
    <t xml:space="preserve">Konstruksi bangunan kokoh, dijaga dalam kondisi baik sehingga tidak menimbulkan bahaya </t>
  </si>
  <si>
    <t xml:space="preserve">Dinding </t>
  </si>
  <si>
    <t>QCXY030</t>
  </si>
  <si>
    <t xml:space="preserve">Tidak berlubang / retak, permukaan bagian halus, rata dan mudah dibersihkan </t>
  </si>
  <si>
    <t>QCXY031</t>
  </si>
  <si>
    <t>Tidak ada cat dinding yang mengelupas</t>
  </si>
  <si>
    <t>QCXY032</t>
  </si>
  <si>
    <t xml:space="preserve">Tidak kotor dan berjamur, secara visual dinding terlihat bersih </t>
  </si>
  <si>
    <t>QCXY033</t>
  </si>
  <si>
    <t>Pertemuan antara dinding dengan lantai membentuk sudut melengkung (curving) / saniter</t>
  </si>
  <si>
    <t>Atap dan Langit-Langit</t>
  </si>
  <si>
    <t>QCXY034</t>
  </si>
  <si>
    <t>Permukaan bagian atap / langit-langit halus, tidak berlubang / retak dan tidak ada sarang laba-laba</t>
  </si>
  <si>
    <t>QCXY035</t>
  </si>
  <si>
    <t xml:space="preserve">Jika terjadi hujan, atap dan langit-langit tidak bocor </t>
  </si>
  <si>
    <t xml:space="preserve">Kaca / Jendela / Pintu </t>
  </si>
  <si>
    <t>QCXY036</t>
  </si>
  <si>
    <t>Berfungsi dan terawat dengan baik</t>
  </si>
  <si>
    <t>QCXY037</t>
  </si>
  <si>
    <t xml:space="preserve">Jendela / pintu yang terbuat dari material kaca dilapisi plastik film </t>
  </si>
  <si>
    <t>QCXY038</t>
  </si>
  <si>
    <t xml:space="preserve">Pintu membuka ke arah luar </t>
  </si>
  <si>
    <t>QCXY039</t>
  </si>
  <si>
    <t>Setelah dibuka pintu dapat menutup otomatis (terdapat door closer)</t>
  </si>
  <si>
    <t>Lantai</t>
  </si>
  <si>
    <t>QCXY040</t>
  </si>
  <si>
    <t>Bersih, kering dan tidak licin</t>
  </si>
  <si>
    <t>QCXY041</t>
  </si>
  <si>
    <t xml:space="preserve">Pertemuan antara lantai dengan dinding membentuk sudut melengkung (curving) / saniter </t>
  </si>
  <si>
    <t>QCXY042</t>
  </si>
  <si>
    <t xml:space="preserve">Tidak dalam keadaan retak, berlubang dan permukaan halus </t>
  </si>
  <si>
    <t>Pencahayaan</t>
  </si>
  <si>
    <t>QCXY043</t>
  </si>
  <si>
    <t xml:space="preserve">Sumber pencahayaan / penerangan cukup dan lampu selain yang berjenis LED memiliki pelindung  </t>
  </si>
  <si>
    <t>Prosedur / Metode</t>
  </si>
  <si>
    <t xml:space="preserve">Kalibrasi </t>
  </si>
  <si>
    <t>QCXY044</t>
  </si>
  <si>
    <t xml:space="preserve">Semua instrument terawat dan berfungsi dengan baik </t>
  </si>
  <si>
    <t>QCXY045</t>
  </si>
  <si>
    <t>Dilakukan kalibrasi minimal 1 kali pertahun</t>
  </si>
  <si>
    <t>QCXY046</t>
  </si>
  <si>
    <t xml:space="preserve">Tag / identitas alat yang sudah dikalibrasi terbaca dengan jelas </t>
  </si>
  <si>
    <t>Prosedur Uji</t>
  </si>
  <si>
    <t>QCXY047</t>
  </si>
  <si>
    <t xml:space="preserve">Petunjuk penggunaan alat / proses pengujian dapat diakses dengan mudah dan tersedia disemua lokasi </t>
  </si>
  <si>
    <t>Material</t>
  </si>
  <si>
    <t>Bahan baku material / bahan chemical sanitasi</t>
  </si>
  <si>
    <t>QCXY048</t>
  </si>
  <si>
    <t>Penyimpanan bahan menggunakan secondary containment / tidak menyentuh lantai</t>
  </si>
  <si>
    <t>QCXY049</t>
  </si>
  <si>
    <t>Penyimpanan bahan disimpan dengan jarak minimal 10 cm dari dinding untuk kemudahan pembersihan</t>
  </si>
  <si>
    <t>Lainnya</t>
  </si>
  <si>
    <t>QCXY050</t>
  </si>
  <si>
    <t>Ketidaksesuaian GMP / 5R lain yang ditemukan selain aspek di atas (jika ada, diisi di kolom keterangan)</t>
  </si>
  <si>
    <t>Total Score IPGMP (Inspection Programme Good Manufacturing Practice)</t>
  </si>
  <si>
    <r>
      <t xml:space="preserve">Keterangan :
Nilai 0 = Ditemukan </t>
    </r>
    <r>
      <rPr>
        <b/>
        <sz val="12"/>
        <color theme="1"/>
        <rFont val="Calibri"/>
        <family val="2"/>
      </rPr>
      <t>≥</t>
    </r>
    <r>
      <rPr>
        <b/>
        <i/>
        <sz val="10.3"/>
        <color theme="1"/>
        <rFont val="Times New Roman"/>
        <family val="1"/>
      </rPr>
      <t xml:space="preserve"> 1 temuan
Nilai 2= Tidak ditemukan temuan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</si>
</sst>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3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i/>
      <sz val="10.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10" fillId="0" borderId="17" xfId="0" quotePrefix="1" applyFont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5" fontId="6" fillId="0" borderId="0" xfId="0" applyNumberFormat="1" applyFont="1" applyAlignment="1">
      <alignment vertical="center"/>
    </xf>
    <xf numFmtId="0" fontId="5" fillId="0" borderId="21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130192</xdr:colOff>
      <xdr:row>1</xdr:row>
      <xdr:rowOff>51660</xdr:rowOff>
    </xdr:from>
    <xdr:to>
      <xdr:col>1</xdr:col>
      <xdr:colOff>1256029</xdr:colOff>
      <xdr:row>3</xdr:row>
      <xdr:rowOff>139390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72AFB-11F8-4D53-AA2D-1EC13478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0192" y="318360"/>
          <a:ext cx="1445877" cy="7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D719-2559-44E2-A997-22DCE1573DB9}">
  <sheetPr>
    <tabColor rgb="FF92D050"/>
    <pageSetUpPr fitToPage="1"/>
  </sheetPr>
  <dimension ref="A1:M75"/>
  <sheetViews>
    <sheetView showGridLines="0" tabSelected="1" topLeftCell="F6" zoomScale="51" zoomScaleNormal="10" zoomScalePageLayoutView="90" workbookViewId="0">
      <selection activeCell="I8" sqref="I8:I9"/>
    </sheetView>
  </sheetViews>
  <sheetFormatPr defaultColWidth="9.28515625" defaultRowHeight="12.75" customHeight="1"/>
  <cols>
    <col min="1" max="1" width="4.28515625" style="1" customWidth="1"/>
    <col min="2" max="2" width="20.42578125" style="1" customWidth="1"/>
    <col min="3" max="4" width="19.5703125" style="1" customWidth="1"/>
    <col min="5" max="6" width="45.7109375" style="2" customWidth="1"/>
    <col min="7" max="7" width="8.7109375" style="2" customWidth="1"/>
    <col min="8" max="8" width="32.28515625" style="1" customWidth="1"/>
    <col min="9" max="9" width="32.28515625" style="21" customWidth="1"/>
    <col min="10" max="10" width="32.28515625" style="1" customWidth="1"/>
    <col min="11" max="11" width="95.5703125" style="21" customWidth="1"/>
    <col min="12" max="12" width="35" style="1" customWidth="1"/>
    <col min="13" max="13" width="30" style="1" customWidth="1"/>
    <col min="14" max="256" width="9.28515625" style="2"/>
    <col min="257" max="257" width="4.28515625" style="2" customWidth="1"/>
    <col min="258" max="259" width="8.28515625" style="2" customWidth="1"/>
    <col min="260" max="260" width="8.7109375" style="2" customWidth="1"/>
    <col min="261" max="261" width="9.28515625" style="2"/>
    <col min="262" max="262" width="72.28515625" style="2" customWidth="1"/>
    <col min="263" max="266" width="6.42578125" style="2" customWidth="1"/>
    <col min="267" max="267" width="27" style="2" customWidth="1"/>
    <col min="268" max="268" width="19.42578125" style="2" customWidth="1"/>
    <col min="269" max="512" width="9.28515625" style="2"/>
    <col min="513" max="513" width="4.28515625" style="2" customWidth="1"/>
    <col min="514" max="515" width="8.28515625" style="2" customWidth="1"/>
    <col min="516" max="516" width="8.7109375" style="2" customWidth="1"/>
    <col min="517" max="517" width="9.28515625" style="2"/>
    <col min="518" max="518" width="72.28515625" style="2" customWidth="1"/>
    <col min="519" max="522" width="6.42578125" style="2" customWidth="1"/>
    <col min="523" max="523" width="27" style="2" customWidth="1"/>
    <col min="524" max="524" width="19.42578125" style="2" customWidth="1"/>
    <col min="525" max="768" width="9.28515625" style="2"/>
    <col min="769" max="769" width="4.28515625" style="2" customWidth="1"/>
    <col min="770" max="771" width="8.28515625" style="2" customWidth="1"/>
    <col min="772" max="772" width="8.7109375" style="2" customWidth="1"/>
    <col min="773" max="773" width="9.28515625" style="2"/>
    <col min="774" max="774" width="72.28515625" style="2" customWidth="1"/>
    <col min="775" max="778" width="6.42578125" style="2" customWidth="1"/>
    <col min="779" max="779" width="27" style="2" customWidth="1"/>
    <col min="780" max="780" width="19.42578125" style="2" customWidth="1"/>
    <col min="781" max="1024" width="9.28515625" style="2"/>
    <col min="1025" max="1025" width="4.28515625" style="2" customWidth="1"/>
    <col min="1026" max="1027" width="8.28515625" style="2" customWidth="1"/>
    <col min="1028" max="1028" width="8.7109375" style="2" customWidth="1"/>
    <col min="1029" max="1029" width="9.28515625" style="2"/>
    <col min="1030" max="1030" width="72.28515625" style="2" customWidth="1"/>
    <col min="1031" max="1034" width="6.42578125" style="2" customWidth="1"/>
    <col min="1035" max="1035" width="27" style="2" customWidth="1"/>
    <col min="1036" max="1036" width="19.42578125" style="2" customWidth="1"/>
    <col min="1037" max="1280" width="9.28515625" style="2"/>
    <col min="1281" max="1281" width="4.28515625" style="2" customWidth="1"/>
    <col min="1282" max="1283" width="8.28515625" style="2" customWidth="1"/>
    <col min="1284" max="1284" width="8.7109375" style="2" customWidth="1"/>
    <col min="1285" max="1285" width="9.28515625" style="2"/>
    <col min="1286" max="1286" width="72.28515625" style="2" customWidth="1"/>
    <col min="1287" max="1290" width="6.42578125" style="2" customWidth="1"/>
    <col min="1291" max="1291" width="27" style="2" customWidth="1"/>
    <col min="1292" max="1292" width="19.42578125" style="2" customWidth="1"/>
    <col min="1293" max="1536" width="9.28515625" style="2"/>
    <col min="1537" max="1537" width="4.28515625" style="2" customWidth="1"/>
    <col min="1538" max="1539" width="8.28515625" style="2" customWidth="1"/>
    <col min="1540" max="1540" width="8.7109375" style="2" customWidth="1"/>
    <col min="1541" max="1541" width="9.28515625" style="2"/>
    <col min="1542" max="1542" width="72.28515625" style="2" customWidth="1"/>
    <col min="1543" max="1546" width="6.42578125" style="2" customWidth="1"/>
    <col min="1547" max="1547" width="27" style="2" customWidth="1"/>
    <col min="1548" max="1548" width="19.42578125" style="2" customWidth="1"/>
    <col min="1549" max="1792" width="9.28515625" style="2"/>
    <col min="1793" max="1793" width="4.28515625" style="2" customWidth="1"/>
    <col min="1794" max="1795" width="8.28515625" style="2" customWidth="1"/>
    <col min="1796" max="1796" width="8.7109375" style="2" customWidth="1"/>
    <col min="1797" max="1797" width="9.28515625" style="2"/>
    <col min="1798" max="1798" width="72.28515625" style="2" customWidth="1"/>
    <col min="1799" max="1802" width="6.42578125" style="2" customWidth="1"/>
    <col min="1803" max="1803" width="27" style="2" customWidth="1"/>
    <col min="1804" max="1804" width="19.42578125" style="2" customWidth="1"/>
    <col min="1805" max="2048" width="9.28515625" style="2"/>
    <col min="2049" max="2049" width="4.28515625" style="2" customWidth="1"/>
    <col min="2050" max="2051" width="8.28515625" style="2" customWidth="1"/>
    <col min="2052" max="2052" width="8.7109375" style="2" customWidth="1"/>
    <col min="2053" max="2053" width="9.28515625" style="2"/>
    <col min="2054" max="2054" width="72.28515625" style="2" customWidth="1"/>
    <col min="2055" max="2058" width="6.42578125" style="2" customWidth="1"/>
    <col min="2059" max="2059" width="27" style="2" customWidth="1"/>
    <col min="2060" max="2060" width="19.42578125" style="2" customWidth="1"/>
    <col min="2061" max="2304" width="9.28515625" style="2"/>
    <col min="2305" max="2305" width="4.28515625" style="2" customWidth="1"/>
    <col min="2306" max="2307" width="8.28515625" style="2" customWidth="1"/>
    <col min="2308" max="2308" width="8.7109375" style="2" customWidth="1"/>
    <col min="2309" max="2309" width="9.28515625" style="2"/>
    <col min="2310" max="2310" width="72.28515625" style="2" customWidth="1"/>
    <col min="2311" max="2314" width="6.42578125" style="2" customWidth="1"/>
    <col min="2315" max="2315" width="27" style="2" customWidth="1"/>
    <col min="2316" max="2316" width="19.42578125" style="2" customWidth="1"/>
    <col min="2317" max="2560" width="9.28515625" style="2"/>
    <col min="2561" max="2561" width="4.28515625" style="2" customWidth="1"/>
    <col min="2562" max="2563" width="8.28515625" style="2" customWidth="1"/>
    <col min="2564" max="2564" width="8.7109375" style="2" customWidth="1"/>
    <col min="2565" max="2565" width="9.28515625" style="2"/>
    <col min="2566" max="2566" width="72.28515625" style="2" customWidth="1"/>
    <col min="2567" max="2570" width="6.42578125" style="2" customWidth="1"/>
    <col min="2571" max="2571" width="27" style="2" customWidth="1"/>
    <col min="2572" max="2572" width="19.42578125" style="2" customWidth="1"/>
    <col min="2573" max="2816" width="9.28515625" style="2"/>
    <col min="2817" max="2817" width="4.28515625" style="2" customWidth="1"/>
    <col min="2818" max="2819" width="8.28515625" style="2" customWidth="1"/>
    <col min="2820" max="2820" width="8.7109375" style="2" customWidth="1"/>
    <col min="2821" max="2821" width="9.28515625" style="2"/>
    <col min="2822" max="2822" width="72.28515625" style="2" customWidth="1"/>
    <col min="2823" max="2826" width="6.42578125" style="2" customWidth="1"/>
    <col min="2827" max="2827" width="27" style="2" customWidth="1"/>
    <col min="2828" max="2828" width="19.42578125" style="2" customWidth="1"/>
    <col min="2829" max="3072" width="9.28515625" style="2"/>
    <col min="3073" max="3073" width="4.28515625" style="2" customWidth="1"/>
    <col min="3074" max="3075" width="8.28515625" style="2" customWidth="1"/>
    <col min="3076" max="3076" width="8.7109375" style="2" customWidth="1"/>
    <col min="3077" max="3077" width="9.28515625" style="2"/>
    <col min="3078" max="3078" width="72.28515625" style="2" customWidth="1"/>
    <col min="3079" max="3082" width="6.42578125" style="2" customWidth="1"/>
    <col min="3083" max="3083" width="27" style="2" customWidth="1"/>
    <col min="3084" max="3084" width="19.42578125" style="2" customWidth="1"/>
    <col min="3085" max="3328" width="9.28515625" style="2"/>
    <col min="3329" max="3329" width="4.28515625" style="2" customWidth="1"/>
    <col min="3330" max="3331" width="8.28515625" style="2" customWidth="1"/>
    <col min="3332" max="3332" width="8.7109375" style="2" customWidth="1"/>
    <col min="3333" max="3333" width="9.28515625" style="2"/>
    <col min="3334" max="3334" width="72.28515625" style="2" customWidth="1"/>
    <col min="3335" max="3338" width="6.42578125" style="2" customWidth="1"/>
    <col min="3339" max="3339" width="27" style="2" customWidth="1"/>
    <col min="3340" max="3340" width="19.42578125" style="2" customWidth="1"/>
    <col min="3341" max="3584" width="9.28515625" style="2"/>
    <col min="3585" max="3585" width="4.28515625" style="2" customWidth="1"/>
    <col min="3586" max="3587" width="8.28515625" style="2" customWidth="1"/>
    <col min="3588" max="3588" width="8.7109375" style="2" customWidth="1"/>
    <col min="3589" max="3589" width="9.28515625" style="2"/>
    <col min="3590" max="3590" width="72.28515625" style="2" customWidth="1"/>
    <col min="3591" max="3594" width="6.42578125" style="2" customWidth="1"/>
    <col min="3595" max="3595" width="27" style="2" customWidth="1"/>
    <col min="3596" max="3596" width="19.42578125" style="2" customWidth="1"/>
    <col min="3597" max="3840" width="9.28515625" style="2"/>
    <col min="3841" max="3841" width="4.28515625" style="2" customWidth="1"/>
    <col min="3842" max="3843" width="8.28515625" style="2" customWidth="1"/>
    <col min="3844" max="3844" width="8.7109375" style="2" customWidth="1"/>
    <col min="3845" max="3845" width="9.28515625" style="2"/>
    <col min="3846" max="3846" width="72.28515625" style="2" customWidth="1"/>
    <col min="3847" max="3850" width="6.42578125" style="2" customWidth="1"/>
    <col min="3851" max="3851" width="27" style="2" customWidth="1"/>
    <col min="3852" max="3852" width="19.42578125" style="2" customWidth="1"/>
    <col min="3853" max="4096" width="9.28515625" style="2"/>
    <col min="4097" max="4097" width="4.28515625" style="2" customWidth="1"/>
    <col min="4098" max="4099" width="8.28515625" style="2" customWidth="1"/>
    <col min="4100" max="4100" width="8.7109375" style="2" customWidth="1"/>
    <col min="4101" max="4101" width="9.28515625" style="2"/>
    <col min="4102" max="4102" width="72.28515625" style="2" customWidth="1"/>
    <col min="4103" max="4106" width="6.42578125" style="2" customWidth="1"/>
    <col min="4107" max="4107" width="27" style="2" customWidth="1"/>
    <col min="4108" max="4108" width="19.42578125" style="2" customWidth="1"/>
    <col min="4109" max="4352" width="9.28515625" style="2"/>
    <col min="4353" max="4353" width="4.28515625" style="2" customWidth="1"/>
    <col min="4354" max="4355" width="8.28515625" style="2" customWidth="1"/>
    <col min="4356" max="4356" width="8.7109375" style="2" customWidth="1"/>
    <col min="4357" max="4357" width="9.28515625" style="2"/>
    <col min="4358" max="4358" width="72.28515625" style="2" customWidth="1"/>
    <col min="4359" max="4362" width="6.42578125" style="2" customWidth="1"/>
    <col min="4363" max="4363" width="27" style="2" customWidth="1"/>
    <col min="4364" max="4364" width="19.42578125" style="2" customWidth="1"/>
    <col min="4365" max="4608" width="9.28515625" style="2"/>
    <col min="4609" max="4609" width="4.28515625" style="2" customWidth="1"/>
    <col min="4610" max="4611" width="8.28515625" style="2" customWidth="1"/>
    <col min="4612" max="4612" width="8.7109375" style="2" customWidth="1"/>
    <col min="4613" max="4613" width="9.28515625" style="2"/>
    <col min="4614" max="4614" width="72.28515625" style="2" customWidth="1"/>
    <col min="4615" max="4618" width="6.42578125" style="2" customWidth="1"/>
    <col min="4619" max="4619" width="27" style="2" customWidth="1"/>
    <col min="4620" max="4620" width="19.42578125" style="2" customWidth="1"/>
    <col min="4621" max="4864" width="9.28515625" style="2"/>
    <col min="4865" max="4865" width="4.28515625" style="2" customWidth="1"/>
    <col min="4866" max="4867" width="8.28515625" style="2" customWidth="1"/>
    <col min="4868" max="4868" width="8.7109375" style="2" customWidth="1"/>
    <col min="4869" max="4869" width="9.28515625" style="2"/>
    <col min="4870" max="4870" width="72.28515625" style="2" customWidth="1"/>
    <col min="4871" max="4874" width="6.42578125" style="2" customWidth="1"/>
    <col min="4875" max="4875" width="27" style="2" customWidth="1"/>
    <col min="4876" max="4876" width="19.42578125" style="2" customWidth="1"/>
    <col min="4877" max="5120" width="9.28515625" style="2"/>
    <col min="5121" max="5121" width="4.28515625" style="2" customWidth="1"/>
    <col min="5122" max="5123" width="8.28515625" style="2" customWidth="1"/>
    <col min="5124" max="5124" width="8.7109375" style="2" customWidth="1"/>
    <col min="5125" max="5125" width="9.28515625" style="2"/>
    <col min="5126" max="5126" width="72.28515625" style="2" customWidth="1"/>
    <col min="5127" max="5130" width="6.42578125" style="2" customWidth="1"/>
    <col min="5131" max="5131" width="27" style="2" customWidth="1"/>
    <col min="5132" max="5132" width="19.42578125" style="2" customWidth="1"/>
    <col min="5133" max="5376" width="9.28515625" style="2"/>
    <col min="5377" max="5377" width="4.28515625" style="2" customWidth="1"/>
    <col min="5378" max="5379" width="8.28515625" style="2" customWidth="1"/>
    <col min="5380" max="5380" width="8.7109375" style="2" customWidth="1"/>
    <col min="5381" max="5381" width="9.28515625" style="2"/>
    <col min="5382" max="5382" width="72.28515625" style="2" customWidth="1"/>
    <col min="5383" max="5386" width="6.42578125" style="2" customWidth="1"/>
    <col min="5387" max="5387" width="27" style="2" customWidth="1"/>
    <col min="5388" max="5388" width="19.42578125" style="2" customWidth="1"/>
    <col min="5389" max="5632" width="9.28515625" style="2"/>
    <col min="5633" max="5633" width="4.28515625" style="2" customWidth="1"/>
    <col min="5634" max="5635" width="8.28515625" style="2" customWidth="1"/>
    <col min="5636" max="5636" width="8.7109375" style="2" customWidth="1"/>
    <col min="5637" max="5637" width="9.28515625" style="2"/>
    <col min="5638" max="5638" width="72.28515625" style="2" customWidth="1"/>
    <col min="5639" max="5642" width="6.42578125" style="2" customWidth="1"/>
    <col min="5643" max="5643" width="27" style="2" customWidth="1"/>
    <col min="5644" max="5644" width="19.42578125" style="2" customWidth="1"/>
    <col min="5645" max="5888" width="9.28515625" style="2"/>
    <col min="5889" max="5889" width="4.28515625" style="2" customWidth="1"/>
    <col min="5890" max="5891" width="8.28515625" style="2" customWidth="1"/>
    <col min="5892" max="5892" width="8.7109375" style="2" customWidth="1"/>
    <col min="5893" max="5893" width="9.28515625" style="2"/>
    <col min="5894" max="5894" width="72.28515625" style="2" customWidth="1"/>
    <col min="5895" max="5898" width="6.42578125" style="2" customWidth="1"/>
    <col min="5899" max="5899" width="27" style="2" customWidth="1"/>
    <col min="5900" max="5900" width="19.42578125" style="2" customWidth="1"/>
    <col min="5901" max="6144" width="9.28515625" style="2"/>
    <col min="6145" max="6145" width="4.28515625" style="2" customWidth="1"/>
    <col min="6146" max="6147" width="8.28515625" style="2" customWidth="1"/>
    <col min="6148" max="6148" width="8.7109375" style="2" customWidth="1"/>
    <col min="6149" max="6149" width="9.28515625" style="2"/>
    <col min="6150" max="6150" width="72.28515625" style="2" customWidth="1"/>
    <col min="6151" max="6154" width="6.42578125" style="2" customWidth="1"/>
    <col min="6155" max="6155" width="27" style="2" customWidth="1"/>
    <col min="6156" max="6156" width="19.42578125" style="2" customWidth="1"/>
    <col min="6157" max="6400" width="9.28515625" style="2"/>
    <col min="6401" max="6401" width="4.28515625" style="2" customWidth="1"/>
    <col min="6402" max="6403" width="8.28515625" style="2" customWidth="1"/>
    <col min="6404" max="6404" width="8.7109375" style="2" customWidth="1"/>
    <col min="6405" max="6405" width="9.28515625" style="2"/>
    <col min="6406" max="6406" width="72.28515625" style="2" customWidth="1"/>
    <col min="6407" max="6410" width="6.42578125" style="2" customWidth="1"/>
    <col min="6411" max="6411" width="27" style="2" customWidth="1"/>
    <col min="6412" max="6412" width="19.42578125" style="2" customWidth="1"/>
    <col min="6413" max="6656" width="9.28515625" style="2"/>
    <col min="6657" max="6657" width="4.28515625" style="2" customWidth="1"/>
    <col min="6658" max="6659" width="8.28515625" style="2" customWidth="1"/>
    <col min="6660" max="6660" width="8.7109375" style="2" customWidth="1"/>
    <col min="6661" max="6661" width="9.28515625" style="2"/>
    <col min="6662" max="6662" width="72.28515625" style="2" customWidth="1"/>
    <col min="6663" max="6666" width="6.42578125" style="2" customWidth="1"/>
    <col min="6667" max="6667" width="27" style="2" customWidth="1"/>
    <col min="6668" max="6668" width="19.42578125" style="2" customWidth="1"/>
    <col min="6669" max="6912" width="9.28515625" style="2"/>
    <col min="6913" max="6913" width="4.28515625" style="2" customWidth="1"/>
    <col min="6914" max="6915" width="8.28515625" style="2" customWidth="1"/>
    <col min="6916" max="6916" width="8.7109375" style="2" customWidth="1"/>
    <col min="6917" max="6917" width="9.28515625" style="2"/>
    <col min="6918" max="6918" width="72.28515625" style="2" customWidth="1"/>
    <col min="6919" max="6922" width="6.42578125" style="2" customWidth="1"/>
    <col min="6923" max="6923" width="27" style="2" customWidth="1"/>
    <col min="6924" max="6924" width="19.42578125" style="2" customWidth="1"/>
    <col min="6925" max="7168" width="9.28515625" style="2"/>
    <col min="7169" max="7169" width="4.28515625" style="2" customWidth="1"/>
    <col min="7170" max="7171" width="8.28515625" style="2" customWidth="1"/>
    <col min="7172" max="7172" width="8.7109375" style="2" customWidth="1"/>
    <col min="7173" max="7173" width="9.28515625" style="2"/>
    <col min="7174" max="7174" width="72.28515625" style="2" customWidth="1"/>
    <col min="7175" max="7178" width="6.42578125" style="2" customWidth="1"/>
    <col min="7179" max="7179" width="27" style="2" customWidth="1"/>
    <col min="7180" max="7180" width="19.42578125" style="2" customWidth="1"/>
    <col min="7181" max="7424" width="9.28515625" style="2"/>
    <col min="7425" max="7425" width="4.28515625" style="2" customWidth="1"/>
    <col min="7426" max="7427" width="8.28515625" style="2" customWidth="1"/>
    <col min="7428" max="7428" width="8.7109375" style="2" customWidth="1"/>
    <col min="7429" max="7429" width="9.28515625" style="2"/>
    <col min="7430" max="7430" width="72.28515625" style="2" customWidth="1"/>
    <col min="7431" max="7434" width="6.42578125" style="2" customWidth="1"/>
    <col min="7435" max="7435" width="27" style="2" customWidth="1"/>
    <col min="7436" max="7436" width="19.42578125" style="2" customWidth="1"/>
    <col min="7437" max="7680" width="9.28515625" style="2"/>
    <col min="7681" max="7681" width="4.28515625" style="2" customWidth="1"/>
    <col min="7682" max="7683" width="8.28515625" style="2" customWidth="1"/>
    <col min="7684" max="7684" width="8.7109375" style="2" customWidth="1"/>
    <col min="7685" max="7685" width="9.28515625" style="2"/>
    <col min="7686" max="7686" width="72.28515625" style="2" customWidth="1"/>
    <col min="7687" max="7690" width="6.42578125" style="2" customWidth="1"/>
    <col min="7691" max="7691" width="27" style="2" customWidth="1"/>
    <col min="7692" max="7692" width="19.42578125" style="2" customWidth="1"/>
    <col min="7693" max="7936" width="9.28515625" style="2"/>
    <col min="7937" max="7937" width="4.28515625" style="2" customWidth="1"/>
    <col min="7938" max="7939" width="8.28515625" style="2" customWidth="1"/>
    <col min="7940" max="7940" width="8.7109375" style="2" customWidth="1"/>
    <col min="7941" max="7941" width="9.28515625" style="2"/>
    <col min="7942" max="7942" width="72.28515625" style="2" customWidth="1"/>
    <col min="7943" max="7946" width="6.42578125" style="2" customWidth="1"/>
    <col min="7947" max="7947" width="27" style="2" customWidth="1"/>
    <col min="7948" max="7948" width="19.42578125" style="2" customWidth="1"/>
    <col min="7949" max="8192" width="9.28515625" style="2"/>
    <col min="8193" max="8193" width="4.28515625" style="2" customWidth="1"/>
    <col min="8194" max="8195" width="8.28515625" style="2" customWidth="1"/>
    <col min="8196" max="8196" width="8.7109375" style="2" customWidth="1"/>
    <col min="8197" max="8197" width="9.28515625" style="2"/>
    <col min="8198" max="8198" width="72.28515625" style="2" customWidth="1"/>
    <col min="8199" max="8202" width="6.42578125" style="2" customWidth="1"/>
    <col min="8203" max="8203" width="27" style="2" customWidth="1"/>
    <col min="8204" max="8204" width="19.42578125" style="2" customWidth="1"/>
    <col min="8205" max="8448" width="9.28515625" style="2"/>
    <col min="8449" max="8449" width="4.28515625" style="2" customWidth="1"/>
    <col min="8450" max="8451" width="8.28515625" style="2" customWidth="1"/>
    <col min="8452" max="8452" width="8.7109375" style="2" customWidth="1"/>
    <col min="8453" max="8453" width="9.28515625" style="2"/>
    <col min="8454" max="8454" width="72.28515625" style="2" customWidth="1"/>
    <col min="8455" max="8458" width="6.42578125" style="2" customWidth="1"/>
    <col min="8459" max="8459" width="27" style="2" customWidth="1"/>
    <col min="8460" max="8460" width="19.42578125" style="2" customWidth="1"/>
    <col min="8461" max="8704" width="9.28515625" style="2"/>
    <col min="8705" max="8705" width="4.28515625" style="2" customWidth="1"/>
    <col min="8706" max="8707" width="8.28515625" style="2" customWidth="1"/>
    <col min="8708" max="8708" width="8.7109375" style="2" customWidth="1"/>
    <col min="8709" max="8709" width="9.28515625" style="2"/>
    <col min="8710" max="8710" width="72.28515625" style="2" customWidth="1"/>
    <col min="8711" max="8714" width="6.42578125" style="2" customWidth="1"/>
    <col min="8715" max="8715" width="27" style="2" customWidth="1"/>
    <col min="8716" max="8716" width="19.42578125" style="2" customWidth="1"/>
    <col min="8717" max="8960" width="9.28515625" style="2"/>
    <col min="8961" max="8961" width="4.28515625" style="2" customWidth="1"/>
    <col min="8962" max="8963" width="8.28515625" style="2" customWidth="1"/>
    <col min="8964" max="8964" width="8.7109375" style="2" customWidth="1"/>
    <col min="8965" max="8965" width="9.28515625" style="2"/>
    <col min="8966" max="8966" width="72.28515625" style="2" customWidth="1"/>
    <col min="8967" max="8970" width="6.42578125" style="2" customWidth="1"/>
    <col min="8971" max="8971" width="27" style="2" customWidth="1"/>
    <col min="8972" max="8972" width="19.42578125" style="2" customWidth="1"/>
    <col min="8973" max="9216" width="9.28515625" style="2"/>
    <col min="9217" max="9217" width="4.28515625" style="2" customWidth="1"/>
    <col min="9218" max="9219" width="8.28515625" style="2" customWidth="1"/>
    <col min="9220" max="9220" width="8.7109375" style="2" customWidth="1"/>
    <col min="9221" max="9221" width="9.28515625" style="2"/>
    <col min="9222" max="9222" width="72.28515625" style="2" customWidth="1"/>
    <col min="9223" max="9226" width="6.42578125" style="2" customWidth="1"/>
    <col min="9227" max="9227" width="27" style="2" customWidth="1"/>
    <col min="9228" max="9228" width="19.42578125" style="2" customWidth="1"/>
    <col min="9229" max="9472" width="9.28515625" style="2"/>
    <col min="9473" max="9473" width="4.28515625" style="2" customWidth="1"/>
    <col min="9474" max="9475" width="8.28515625" style="2" customWidth="1"/>
    <col min="9476" max="9476" width="8.7109375" style="2" customWidth="1"/>
    <col min="9477" max="9477" width="9.28515625" style="2"/>
    <col min="9478" max="9478" width="72.28515625" style="2" customWidth="1"/>
    <col min="9479" max="9482" width="6.42578125" style="2" customWidth="1"/>
    <col min="9483" max="9483" width="27" style="2" customWidth="1"/>
    <col min="9484" max="9484" width="19.42578125" style="2" customWidth="1"/>
    <col min="9485" max="9728" width="9.28515625" style="2"/>
    <col min="9729" max="9729" width="4.28515625" style="2" customWidth="1"/>
    <col min="9730" max="9731" width="8.28515625" style="2" customWidth="1"/>
    <col min="9732" max="9732" width="8.7109375" style="2" customWidth="1"/>
    <col min="9733" max="9733" width="9.28515625" style="2"/>
    <col min="9734" max="9734" width="72.28515625" style="2" customWidth="1"/>
    <col min="9735" max="9738" width="6.42578125" style="2" customWidth="1"/>
    <col min="9739" max="9739" width="27" style="2" customWidth="1"/>
    <col min="9740" max="9740" width="19.42578125" style="2" customWidth="1"/>
    <col min="9741" max="9984" width="9.28515625" style="2"/>
    <col min="9985" max="9985" width="4.28515625" style="2" customWidth="1"/>
    <col min="9986" max="9987" width="8.28515625" style="2" customWidth="1"/>
    <col min="9988" max="9988" width="8.7109375" style="2" customWidth="1"/>
    <col min="9989" max="9989" width="9.28515625" style="2"/>
    <col min="9990" max="9990" width="72.28515625" style="2" customWidth="1"/>
    <col min="9991" max="9994" width="6.42578125" style="2" customWidth="1"/>
    <col min="9995" max="9995" width="27" style="2" customWidth="1"/>
    <col min="9996" max="9996" width="19.42578125" style="2" customWidth="1"/>
    <col min="9997" max="10240" width="9.28515625" style="2"/>
    <col min="10241" max="10241" width="4.28515625" style="2" customWidth="1"/>
    <col min="10242" max="10243" width="8.28515625" style="2" customWidth="1"/>
    <col min="10244" max="10244" width="8.7109375" style="2" customWidth="1"/>
    <col min="10245" max="10245" width="9.28515625" style="2"/>
    <col min="10246" max="10246" width="72.28515625" style="2" customWidth="1"/>
    <col min="10247" max="10250" width="6.42578125" style="2" customWidth="1"/>
    <col min="10251" max="10251" width="27" style="2" customWidth="1"/>
    <col min="10252" max="10252" width="19.42578125" style="2" customWidth="1"/>
    <col min="10253" max="10496" width="9.28515625" style="2"/>
    <col min="10497" max="10497" width="4.28515625" style="2" customWidth="1"/>
    <col min="10498" max="10499" width="8.28515625" style="2" customWidth="1"/>
    <col min="10500" max="10500" width="8.7109375" style="2" customWidth="1"/>
    <col min="10501" max="10501" width="9.28515625" style="2"/>
    <col min="10502" max="10502" width="72.28515625" style="2" customWidth="1"/>
    <col min="10503" max="10506" width="6.42578125" style="2" customWidth="1"/>
    <col min="10507" max="10507" width="27" style="2" customWidth="1"/>
    <col min="10508" max="10508" width="19.42578125" style="2" customWidth="1"/>
    <col min="10509" max="10752" width="9.28515625" style="2"/>
    <col min="10753" max="10753" width="4.28515625" style="2" customWidth="1"/>
    <col min="10754" max="10755" width="8.28515625" style="2" customWidth="1"/>
    <col min="10756" max="10756" width="8.7109375" style="2" customWidth="1"/>
    <col min="10757" max="10757" width="9.28515625" style="2"/>
    <col min="10758" max="10758" width="72.28515625" style="2" customWidth="1"/>
    <col min="10759" max="10762" width="6.42578125" style="2" customWidth="1"/>
    <col min="10763" max="10763" width="27" style="2" customWidth="1"/>
    <col min="10764" max="10764" width="19.42578125" style="2" customWidth="1"/>
    <col min="10765" max="11008" width="9.28515625" style="2"/>
    <col min="11009" max="11009" width="4.28515625" style="2" customWidth="1"/>
    <col min="11010" max="11011" width="8.28515625" style="2" customWidth="1"/>
    <col min="11012" max="11012" width="8.7109375" style="2" customWidth="1"/>
    <col min="11013" max="11013" width="9.28515625" style="2"/>
    <col min="11014" max="11014" width="72.28515625" style="2" customWidth="1"/>
    <col min="11015" max="11018" width="6.42578125" style="2" customWidth="1"/>
    <col min="11019" max="11019" width="27" style="2" customWidth="1"/>
    <col min="11020" max="11020" width="19.42578125" style="2" customWidth="1"/>
    <col min="11021" max="11264" width="9.28515625" style="2"/>
    <col min="11265" max="11265" width="4.28515625" style="2" customWidth="1"/>
    <col min="11266" max="11267" width="8.28515625" style="2" customWidth="1"/>
    <col min="11268" max="11268" width="8.7109375" style="2" customWidth="1"/>
    <col min="11269" max="11269" width="9.28515625" style="2"/>
    <col min="11270" max="11270" width="72.28515625" style="2" customWidth="1"/>
    <col min="11271" max="11274" width="6.42578125" style="2" customWidth="1"/>
    <col min="11275" max="11275" width="27" style="2" customWidth="1"/>
    <col min="11276" max="11276" width="19.42578125" style="2" customWidth="1"/>
    <col min="11277" max="11520" width="9.28515625" style="2"/>
    <col min="11521" max="11521" width="4.28515625" style="2" customWidth="1"/>
    <col min="11522" max="11523" width="8.28515625" style="2" customWidth="1"/>
    <col min="11524" max="11524" width="8.7109375" style="2" customWidth="1"/>
    <col min="11525" max="11525" width="9.28515625" style="2"/>
    <col min="11526" max="11526" width="72.28515625" style="2" customWidth="1"/>
    <col min="11527" max="11530" width="6.42578125" style="2" customWidth="1"/>
    <col min="11531" max="11531" width="27" style="2" customWidth="1"/>
    <col min="11532" max="11532" width="19.42578125" style="2" customWidth="1"/>
    <col min="11533" max="11776" width="9.28515625" style="2"/>
    <col min="11777" max="11777" width="4.28515625" style="2" customWidth="1"/>
    <col min="11778" max="11779" width="8.28515625" style="2" customWidth="1"/>
    <col min="11780" max="11780" width="8.7109375" style="2" customWidth="1"/>
    <col min="11781" max="11781" width="9.28515625" style="2"/>
    <col min="11782" max="11782" width="72.28515625" style="2" customWidth="1"/>
    <col min="11783" max="11786" width="6.42578125" style="2" customWidth="1"/>
    <col min="11787" max="11787" width="27" style="2" customWidth="1"/>
    <col min="11788" max="11788" width="19.42578125" style="2" customWidth="1"/>
    <col min="11789" max="12032" width="9.28515625" style="2"/>
    <col min="12033" max="12033" width="4.28515625" style="2" customWidth="1"/>
    <col min="12034" max="12035" width="8.28515625" style="2" customWidth="1"/>
    <col min="12036" max="12036" width="8.7109375" style="2" customWidth="1"/>
    <col min="12037" max="12037" width="9.28515625" style="2"/>
    <col min="12038" max="12038" width="72.28515625" style="2" customWidth="1"/>
    <col min="12039" max="12042" width="6.42578125" style="2" customWidth="1"/>
    <col min="12043" max="12043" width="27" style="2" customWidth="1"/>
    <col min="12044" max="12044" width="19.42578125" style="2" customWidth="1"/>
    <col min="12045" max="12288" width="9.28515625" style="2"/>
    <col min="12289" max="12289" width="4.28515625" style="2" customWidth="1"/>
    <col min="12290" max="12291" width="8.28515625" style="2" customWidth="1"/>
    <col min="12292" max="12292" width="8.7109375" style="2" customWidth="1"/>
    <col min="12293" max="12293" width="9.28515625" style="2"/>
    <col min="12294" max="12294" width="72.28515625" style="2" customWidth="1"/>
    <col min="12295" max="12298" width="6.42578125" style="2" customWidth="1"/>
    <col min="12299" max="12299" width="27" style="2" customWidth="1"/>
    <col min="12300" max="12300" width="19.42578125" style="2" customWidth="1"/>
    <col min="12301" max="12544" width="9.28515625" style="2"/>
    <col min="12545" max="12545" width="4.28515625" style="2" customWidth="1"/>
    <col min="12546" max="12547" width="8.28515625" style="2" customWidth="1"/>
    <col min="12548" max="12548" width="8.7109375" style="2" customWidth="1"/>
    <col min="12549" max="12549" width="9.28515625" style="2"/>
    <col min="12550" max="12550" width="72.28515625" style="2" customWidth="1"/>
    <col min="12551" max="12554" width="6.42578125" style="2" customWidth="1"/>
    <col min="12555" max="12555" width="27" style="2" customWidth="1"/>
    <col min="12556" max="12556" width="19.42578125" style="2" customWidth="1"/>
    <col min="12557" max="12800" width="9.28515625" style="2"/>
    <col min="12801" max="12801" width="4.28515625" style="2" customWidth="1"/>
    <col min="12802" max="12803" width="8.28515625" style="2" customWidth="1"/>
    <col min="12804" max="12804" width="8.7109375" style="2" customWidth="1"/>
    <col min="12805" max="12805" width="9.28515625" style="2"/>
    <col min="12806" max="12806" width="72.28515625" style="2" customWidth="1"/>
    <col min="12807" max="12810" width="6.42578125" style="2" customWidth="1"/>
    <col min="12811" max="12811" width="27" style="2" customWidth="1"/>
    <col min="12812" max="12812" width="19.42578125" style="2" customWidth="1"/>
    <col min="12813" max="13056" width="9.28515625" style="2"/>
    <col min="13057" max="13057" width="4.28515625" style="2" customWidth="1"/>
    <col min="13058" max="13059" width="8.28515625" style="2" customWidth="1"/>
    <col min="13060" max="13060" width="8.7109375" style="2" customWidth="1"/>
    <col min="13061" max="13061" width="9.28515625" style="2"/>
    <col min="13062" max="13062" width="72.28515625" style="2" customWidth="1"/>
    <col min="13063" max="13066" width="6.42578125" style="2" customWidth="1"/>
    <col min="13067" max="13067" width="27" style="2" customWidth="1"/>
    <col min="13068" max="13068" width="19.42578125" style="2" customWidth="1"/>
    <col min="13069" max="13312" width="9.28515625" style="2"/>
    <col min="13313" max="13313" width="4.28515625" style="2" customWidth="1"/>
    <col min="13314" max="13315" width="8.28515625" style="2" customWidth="1"/>
    <col min="13316" max="13316" width="8.7109375" style="2" customWidth="1"/>
    <col min="13317" max="13317" width="9.28515625" style="2"/>
    <col min="13318" max="13318" width="72.28515625" style="2" customWidth="1"/>
    <col min="13319" max="13322" width="6.42578125" style="2" customWidth="1"/>
    <col min="13323" max="13323" width="27" style="2" customWidth="1"/>
    <col min="13324" max="13324" width="19.42578125" style="2" customWidth="1"/>
    <col min="13325" max="13568" width="9.28515625" style="2"/>
    <col min="13569" max="13569" width="4.28515625" style="2" customWidth="1"/>
    <col min="13570" max="13571" width="8.28515625" style="2" customWidth="1"/>
    <col min="13572" max="13572" width="8.7109375" style="2" customWidth="1"/>
    <col min="13573" max="13573" width="9.28515625" style="2"/>
    <col min="13574" max="13574" width="72.28515625" style="2" customWidth="1"/>
    <col min="13575" max="13578" width="6.42578125" style="2" customWidth="1"/>
    <col min="13579" max="13579" width="27" style="2" customWidth="1"/>
    <col min="13580" max="13580" width="19.42578125" style="2" customWidth="1"/>
    <col min="13581" max="13824" width="9.28515625" style="2"/>
    <col min="13825" max="13825" width="4.28515625" style="2" customWidth="1"/>
    <col min="13826" max="13827" width="8.28515625" style="2" customWidth="1"/>
    <col min="13828" max="13828" width="8.7109375" style="2" customWidth="1"/>
    <col min="13829" max="13829" width="9.28515625" style="2"/>
    <col min="13830" max="13830" width="72.28515625" style="2" customWidth="1"/>
    <col min="13831" max="13834" width="6.42578125" style="2" customWidth="1"/>
    <col min="13835" max="13835" width="27" style="2" customWidth="1"/>
    <col min="13836" max="13836" width="19.42578125" style="2" customWidth="1"/>
    <col min="13837" max="14080" width="9.28515625" style="2"/>
    <col min="14081" max="14081" width="4.28515625" style="2" customWidth="1"/>
    <col min="14082" max="14083" width="8.28515625" style="2" customWidth="1"/>
    <col min="14084" max="14084" width="8.7109375" style="2" customWidth="1"/>
    <col min="14085" max="14085" width="9.28515625" style="2"/>
    <col min="14086" max="14086" width="72.28515625" style="2" customWidth="1"/>
    <col min="14087" max="14090" width="6.42578125" style="2" customWidth="1"/>
    <col min="14091" max="14091" width="27" style="2" customWidth="1"/>
    <col min="14092" max="14092" width="19.42578125" style="2" customWidth="1"/>
    <col min="14093" max="14336" width="9.28515625" style="2"/>
    <col min="14337" max="14337" width="4.28515625" style="2" customWidth="1"/>
    <col min="14338" max="14339" width="8.28515625" style="2" customWidth="1"/>
    <col min="14340" max="14340" width="8.7109375" style="2" customWidth="1"/>
    <col min="14341" max="14341" width="9.28515625" style="2"/>
    <col min="14342" max="14342" width="72.28515625" style="2" customWidth="1"/>
    <col min="14343" max="14346" width="6.42578125" style="2" customWidth="1"/>
    <col min="14347" max="14347" width="27" style="2" customWidth="1"/>
    <col min="14348" max="14348" width="19.42578125" style="2" customWidth="1"/>
    <col min="14349" max="14592" width="9.28515625" style="2"/>
    <col min="14593" max="14593" width="4.28515625" style="2" customWidth="1"/>
    <col min="14594" max="14595" width="8.28515625" style="2" customWidth="1"/>
    <col min="14596" max="14596" width="8.7109375" style="2" customWidth="1"/>
    <col min="14597" max="14597" width="9.28515625" style="2"/>
    <col min="14598" max="14598" width="72.28515625" style="2" customWidth="1"/>
    <col min="14599" max="14602" width="6.42578125" style="2" customWidth="1"/>
    <col min="14603" max="14603" width="27" style="2" customWidth="1"/>
    <col min="14604" max="14604" width="19.42578125" style="2" customWidth="1"/>
    <col min="14605" max="14848" width="9.28515625" style="2"/>
    <col min="14849" max="14849" width="4.28515625" style="2" customWidth="1"/>
    <col min="14850" max="14851" width="8.28515625" style="2" customWidth="1"/>
    <col min="14852" max="14852" width="8.7109375" style="2" customWidth="1"/>
    <col min="14853" max="14853" width="9.28515625" style="2"/>
    <col min="14854" max="14854" width="72.28515625" style="2" customWidth="1"/>
    <col min="14855" max="14858" width="6.42578125" style="2" customWidth="1"/>
    <col min="14859" max="14859" width="27" style="2" customWidth="1"/>
    <col min="14860" max="14860" width="19.42578125" style="2" customWidth="1"/>
    <col min="14861" max="15104" width="9.28515625" style="2"/>
    <col min="15105" max="15105" width="4.28515625" style="2" customWidth="1"/>
    <col min="15106" max="15107" width="8.28515625" style="2" customWidth="1"/>
    <col min="15108" max="15108" width="8.7109375" style="2" customWidth="1"/>
    <col min="15109" max="15109" width="9.28515625" style="2"/>
    <col min="15110" max="15110" width="72.28515625" style="2" customWidth="1"/>
    <col min="15111" max="15114" width="6.42578125" style="2" customWidth="1"/>
    <col min="15115" max="15115" width="27" style="2" customWidth="1"/>
    <col min="15116" max="15116" width="19.42578125" style="2" customWidth="1"/>
    <col min="15117" max="15360" width="9.28515625" style="2"/>
    <col min="15361" max="15361" width="4.28515625" style="2" customWidth="1"/>
    <col min="15362" max="15363" width="8.28515625" style="2" customWidth="1"/>
    <col min="15364" max="15364" width="8.7109375" style="2" customWidth="1"/>
    <col min="15365" max="15365" width="9.28515625" style="2"/>
    <col min="15366" max="15366" width="72.28515625" style="2" customWidth="1"/>
    <col min="15367" max="15370" width="6.42578125" style="2" customWidth="1"/>
    <col min="15371" max="15371" width="27" style="2" customWidth="1"/>
    <col min="15372" max="15372" width="19.42578125" style="2" customWidth="1"/>
    <col min="15373" max="15616" width="9.28515625" style="2"/>
    <col min="15617" max="15617" width="4.28515625" style="2" customWidth="1"/>
    <col min="15618" max="15619" width="8.28515625" style="2" customWidth="1"/>
    <col min="15620" max="15620" width="8.7109375" style="2" customWidth="1"/>
    <col min="15621" max="15621" width="9.28515625" style="2"/>
    <col min="15622" max="15622" width="72.28515625" style="2" customWidth="1"/>
    <col min="15623" max="15626" width="6.42578125" style="2" customWidth="1"/>
    <col min="15627" max="15627" width="27" style="2" customWidth="1"/>
    <col min="15628" max="15628" width="19.42578125" style="2" customWidth="1"/>
    <col min="15629" max="15872" width="9.28515625" style="2"/>
    <col min="15873" max="15873" width="4.28515625" style="2" customWidth="1"/>
    <col min="15874" max="15875" width="8.28515625" style="2" customWidth="1"/>
    <col min="15876" max="15876" width="8.7109375" style="2" customWidth="1"/>
    <col min="15877" max="15877" width="9.28515625" style="2"/>
    <col min="15878" max="15878" width="72.28515625" style="2" customWidth="1"/>
    <col min="15879" max="15882" width="6.42578125" style="2" customWidth="1"/>
    <col min="15883" max="15883" width="27" style="2" customWidth="1"/>
    <col min="15884" max="15884" width="19.42578125" style="2" customWidth="1"/>
    <col min="15885" max="16128" width="9.28515625" style="2"/>
    <col min="16129" max="16129" width="4.28515625" style="2" customWidth="1"/>
    <col min="16130" max="16131" width="8.28515625" style="2" customWidth="1"/>
    <col min="16132" max="16132" width="8.7109375" style="2" customWidth="1"/>
    <col min="16133" max="16133" width="9.28515625" style="2"/>
    <col min="16134" max="16134" width="72.28515625" style="2" customWidth="1"/>
    <col min="16135" max="16138" width="6.42578125" style="2" customWidth="1"/>
    <col min="16139" max="16139" width="27" style="2" customWidth="1"/>
    <col min="16140" max="16140" width="19.42578125" style="2" customWidth="1"/>
    <col min="16141" max="16384" width="9.28515625" style="2"/>
  </cols>
  <sheetData>
    <row r="1" spans="1:13" ht="21" customHeight="1">
      <c r="A1" s="69"/>
      <c r="B1" s="70"/>
      <c r="C1" s="54" t="s">
        <v>0</v>
      </c>
      <c r="D1" s="54"/>
      <c r="E1" s="54"/>
      <c r="F1" s="54"/>
      <c r="G1" s="54"/>
      <c r="H1" s="54"/>
      <c r="I1" s="54"/>
      <c r="J1" s="54"/>
      <c r="K1" s="54"/>
      <c r="L1" s="24" t="s">
        <v>1</v>
      </c>
      <c r="M1" s="6" t="s">
        <v>2</v>
      </c>
    </row>
    <row r="2" spans="1:13" ht="26.25" customHeight="1">
      <c r="A2" s="71"/>
      <c r="B2" s="72"/>
      <c r="C2" s="54"/>
      <c r="D2" s="54"/>
      <c r="E2" s="54"/>
      <c r="F2" s="54"/>
      <c r="G2" s="54"/>
      <c r="H2" s="54"/>
      <c r="I2" s="54"/>
      <c r="J2" s="54"/>
      <c r="K2" s="54"/>
      <c r="L2" s="25" t="s">
        <v>3</v>
      </c>
      <c r="M2" s="7" t="s">
        <v>4</v>
      </c>
    </row>
    <row r="3" spans="1:13" ht="22.9" customHeight="1">
      <c r="A3" s="71"/>
      <c r="B3" s="72"/>
      <c r="C3" s="54" t="s">
        <v>5</v>
      </c>
      <c r="D3" s="54"/>
      <c r="E3" s="54"/>
      <c r="F3" s="54"/>
      <c r="G3" s="54"/>
      <c r="H3" s="54"/>
      <c r="I3" s="54"/>
      <c r="J3" s="54"/>
      <c r="K3" s="54"/>
      <c r="L3" s="25" t="s">
        <v>6</v>
      </c>
      <c r="M3" s="7" t="s">
        <v>7</v>
      </c>
    </row>
    <row r="4" spans="1:13" ht="22.9" customHeight="1">
      <c r="A4" s="73"/>
      <c r="B4" s="74"/>
      <c r="C4" s="54" t="s">
        <v>8</v>
      </c>
      <c r="D4" s="54"/>
      <c r="E4" s="54"/>
      <c r="F4" s="54"/>
      <c r="G4" s="54"/>
      <c r="H4" s="54"/>
      <c r="I4" s="54"/>
      <c r="J4" s="54"/>
      <c r="K4" s="54"/>
      <c r="L4" s="26" t="s">
        <v>9</v>
      </c>
      <c r="M4" s="13" t="s">
        <v>10</v>
      </c>
    </row>
    <row r="5" spans="1:13" ht="16.5">
      <c r="A5" s="8" t="s">
        <v>11</v>
      </c>
      <c r="B5" s="9"/>
      <c r="C5" s="47">
        <v>46134</v>
      </c>
      <c r="D5" s="14"/>
      <c r="E5" s="14"/>
      <c r="F5" s="8"/>
      <c r="G5" s="8"/>
      <c r="H5" s="80"/>
      <c r="I5" s="8"/>
      <c r="J5" s="8"/>
      <c r="K5" s="8"/>
      <c r="L5" s="15"/>
      <c r="M5" s="15"/>
    </row>
    <row r="6" spans="1:13" ht="16.5">
      <c r="A6" s="10" t="s">
        <v>12</v>
      </c>
      <c r="B6" s="9"/>
      <c r="C6" s="14" t="s">
        <v>13</v>
      </c>
      <c r="D6" s="14"/>
      <c r="E6" s="14"/>
      <c r="F6" s="14"/>
      <c r="G6" s="15"/>
      <c r="H6" s="81"/>
      <c r="I6" s="15"/>
      <c r="J6" s="15"/>
      <c r="K6" s="15"/>
      <c r="L6" s="15"/>
      <c r="M6" s="15"/>
    </row>
    <row r="7" spans="1:13" ht="16.5">
      <c r="A7" s="10" t="s">
        <v>14</v>
      </c>
      <c r="B7" s="9"/>
      <c r="C7" s="14" t="s">
        <v>15</v>
      </c>
      <c r="D7" s="14"/>
      <c r="E7" s="14"/>
      <c r="F7" s="14"/>
      <c r="G7" s="15"/>
      <c r="H7" s="81"/>
      <c r="I7" s="15"/>
      <c r="J7" s="15"/>
      <c r="K7" s="15"/>
      <c r="L7" s="15"/>
      <c r="M7" s="15"/>
    </row>
    <row r="8" spans="1:13" ht="16.149999999999999" customHeight="1">
      <c r="A8" s="75" t="s">
        <v>16</v>
      </c>
      <c r="B8" s="77" t="s">
        <v>17</v>
      </c>
      <c r="C8" s="52" t="s">
        <v>18</v>
      </c>
      <c r="D8" s="49" t="s">
        <v>19</v>
      </c>
      <c r="E8" s="77" t="s">
        <v>20</v>
      </c>
      <c r="F8" s="68"/>
      <c r="G8" s="12" t="s">
        <v>21</v>
      </c>
      <c r="H8" s="68" t="s">
        <v>22</v>
      </c>
      <c r="I8" s="51" t="s">
        <v>23</v>
      </c>
      <c r="J8" s="53" t="s">
        <v>24</v>
      </c>
      <c r="K8" s="52" t="s">
        <v>25</v>
      </c>
      <c r="L8" s="65" t="s">
        <v>26</v>
      </c>
      <c r="M8" s="66" t="s">
        <v>27</v>
      </c>
    </row>
    <row r="9" spans="1:13" ht="18.600000000000001" customHeight="1">
      <c r="A9" s="76"/>
      <c r="B9" s="78"/>
      <c r="C9" s="51"/>
      <c r="D9" s="50"/>
      <c r="E9" s="78"/>
      <c r="F9" s="79"/>
      <c r="G9" s="37" t="s">
        <v>28</v>
      </c>
      <c r="H9" s="52"/>
      <c r="I9" s="52"/>
      <c r="J9" s="52"/>
      <c r="K9" s="67"/>
      <c r="L9" s="65"/>
      <c r="M9" s="66"/>
    </row>
    <row r="10" spans="1:13" ht="40.15" customHeight="1">
      <c r="A10" s="32">
        <v>1</v>
      </c>
      <c r="B10" s="57" t="s">
        <v>29</v>
      </c>
      <c r="C10" s="57" t="s">
        <v>30</v>
      </c>
      <c r="D10" s="19" t="s">
        <v>31</v>
      </c>
      <c r="E10" s="55" t="s">
        <v>32</v>
      </c>
      <c r="F10" s="55"/>
      <c r="G10" s="38"/>
      <c r="H10" s="29"/>
      <c r="I10" s="31"/>
      <c r="J10" s="29"/>
      <c r="K10" s="23"/>
      <c r="L10" s="11"/>
      <c r="M10" s="11"/>
    </row>
    <row r="11" spans="1:13" ht="40.15" customHeight="1">
      <c r="A11" s="32">
        <f>A10+1</f>
        <v>2</v>
      </c>
      <c r="B11" s="57"/>
      <c r="C11" s="57"/>
      <c r="D11" s="19" t="s">
        <v>33</v>
      </c>
      <c r="E11" s="55" t="s">
        <v>34</v>
      </c>
      <c r="F11" s="55"/>
      <c r="G11" s="38"/>
      <c r="H11" s="29"/>
      <c r="I11" s="31"/>
      <c r="J11" s="29"/>
      <c r="K11" s="27"/>
      <c r="L11" s="16"/>
      <c r="M11" s="16"/>
    </row>
    <row r="12" spans="1:13" ht="40.15" customHeight="1">
      <c r="A12" s="32">
        <f t="shared" ref="A12:A59" si="0">A11+1</f>
        <v>3</v>
      </c>
      <c r="B12" s="57"/>
      <c r="C12" s="57"/>
      <c r="D12" s="19" t="s">
        <v>35</v>
      </c>
      <c r="E12" s="55" t="s">
        <v>36</v>
      </c>
      <c r="F12" s="61"/>
      <c r="G12" s="38"/>
      <c r="H12" s="29"/>
      <c r="I12" s="31"/>
      <c r="J12" s="29"/>
      <c r="K12" s="27"/>
      <c r="L12" s="16"/>
      <c r="M12" s="16"/>
    </row>
    <row r="13" spans="1:13" ht="62.45" customHeight="1">
      <c r="A13" s="32">
        <f t="shared" si="0"/>
        <v>4</v>
      </c>
      <c r="B13" s="57"/>
      <c r="C13" s="57"/>
      <c r="D13" s="19" t="s">
        <v>37</v>
      </c>
      <c r="E13" s="55" t="s">
        <v>38</v>
      </c>
      <c r="F13" s="61"/>
      <c r="G13" s="38"/>
      <c r="H13" s="82"/>
      <c r="I13" s="34"/>
      <c r="J13" s="82"/>
      <c r="K13" s="33"/>
      <c r="L13" s="16"/>
      <c r="M13" s="16"/>
    </row>
    <row r="14" spans="1:13" ht="40.15" customHeight="1">
      <c r="A14" s="32">
        <f t="shared" si="0"/>
        <v>5</v>
      </c>
      <c r="B14" s="57"/>
      <c r="C14" s="57"/>
      <c r="D14" s="19" t="s">
        <v>39</v>
      </c>
      <c r="E14" s="55" t="s">
        <v>40</v>
      </c>
      <c r="F14" s="61"/>
      <c r="G14" s="38"/>
      <c r="H14" s="82"/>
      <c r="I14" s="34"/>
      <c r="J14" s="82"/>
      <c r="K14" s="33"/>
      <c r="L14" s="16"/>
      <c r="M14" s="16"/>
    </row>
    <row r="15" spans="1:13" ht="40.15" customHeight="1">
      <c r="A15" s="32">
        <f t="shared" si="0"/>
        <v>6</v>
      </c>
      <c r="B15" s="57" t="s">
        <v>41</v>
      </c>
      <c r="C15" s="58" t="s">
        <v>42</v>
      </c>
      <c r="D15" s="19" t="s">
        <v>43</v>
      </c>
      <c r="E15" s="55" t="s">
        <v>44</v>
      </c>
      <c r="F15" s="55"/>
      <c r="G15" s="38"/>
      <c r="H15" s="82"/>
      <c r="I15" s="34"/>
      <c r="J15" s="82"/>
      <c r="K15" s="33"/>
      <c r="L15" s="16"/>
      <c r="M15" s="16"/>
    </row>
    <row r="16" spans="1:13" ht="40.15" customHeight="1">
      <c r="A16" s="32">
        <f t="shared" si="0"/>
        <v>7</v>
      </c>
      <c r="B16" s="57"/>
      <c r="C16" s="58"/>
      <c r="D16" s="19" t="s">
        <v>45</v>
      </c>
      <c r="E16" s="55" t="s">
        <v>46</v>
      </c>
      <c r="F16" s="55"/>
      <c r="G16" s="38"/>
      <c r="H16" s="82"/>
      <c r="I16" s="34"/>
      <c r="J16" s="82"/>
      <c r="K16" s="33"/>
      <c r="L16" s="16"/>
      <c r="M16" s="16"/>
    </row>
    <row r="17" spans="1:13" ht="40.15" customHeight="1">
      <c r="A17" s="32">
        <f t="shared" si="0"/>
        <v>8</v>
      </c>
      <c r="B17" s="57"/>
      <c r="C17" s="58"/>
      <c r="D17" s="19" t="s">
        <v>47</v>
      </c>
      <c r="E17" s="55" t="s">
        <v>48</v>
      </c>
      <c r="F17" s="55"/>
      <c r="G17" s="38"/>
      <c r="H17" s="82"/>
      <c r="I17" s="34"/>
      <c r="J17" s="82"/>
      <c r="K17" s="33"/>
      <c r="L17" s="16"/>
      <c r="M17" s="16"/>
    </row>
    <row r="18" spans="1:13" ht="40.15" customHeight="1">
      <c r="A18" s="32">
        <f t="shared" si="0"/>
        <v>9</v>
      </c>
      <c r="B18" s="57"/>
      <c r="C18" s="58"/>
      <c r="D18" s="19" t="s">
        <v>49</v>
      </c>
      <c r="E18" s="55" t="s">
        <v>50</v>
      </c>
      <c r="F18" s="55"/>
      <c r="G18" s="38"/>
      <c r="H18" s="82"/>
      <c r="I18" s="34"/>
      <c r="J18" s="82"/>
      <c r="K18" s="33"/>
      <c r="L18" s="16"/>
      <c r="M18" s="16"/>
    </row>
    <row r="19" spans="1:13" ht="40.15" customHeight="1">
      <c r="A19" s="32">
        <f t="shared" si="0"/>
        <v>10</v>
      </c>
      <c r="B19" s="57"/>
      <c r="C19" s="58"/>
      <c r="D19" s="19" t="s">
        <v>51</v>
      </c>
      <c r="E19" s="55" t="s">
        <v>52</v>
      </c>
      <c r="F19" s="55"/>
      <c r="G19" s="38"/>
      <c r="H19" s="40"/>
      <c r="I19" s="35"/>
      <c r="J19" s="40"/>
      <c r="K19" s="22"/>
      <c r="L19" s="16"/>
      <c r="M19" s="16"/>
    </row>
    <row r="20" spans="1:13" ht="40.15" customHeight="1">
      <c r="A20" s="32">
        <f t="shared" si="0"/>
        <v>11</v>
      </c>
      <c r="B20" s="57"/>
      <c r="C20" s="58"/>
      <c r="D20" s="19" t="s">
        <v>53</v>
      </c>
      <c r="E20" s="55" t="s">
        <v>54</v>
      </c>
      <c r="F20" s="55"/>
      <c r="G20" s="38"/>
      <c r="H20" s="82"/>
      <c r="I20" s="34"/>
      <c r="J20" s="82"/>
      <c r="K20" s="33"/>
      <c r="L20" s="16"/>
      <c r="M20" s="16"/>
    </row>
    <row r="21" spans="1:13" ht="40.15" customHeight="1">
      <c r="A21" s="32">
        <f t="shared" si="0"/>
        <v>12</v>
      </c>
      <c r="B21" s="57"/>
      <c r="C21" s="58" t="s">
        <v>55</v>
      </c>
      <c r="D21" s="19" t="s">
        <v>56</v>
      </c>
      <c r="E21" s="55" t="s">
        <v>57</v>
      </c>
      <c r="F21" s="55"/>
      <c r="G21" s="38"/>
      <c r="H21" s="82"/>
      <c r="I21" s="34"/>
      <c r="J21" s="82"/>
      <c r="K21" s="33"/>
      <c r="L21" s="16"/>
      <c r="M21" s="16"/>
    </row>
    <row r="22" spans="1:13" ht="40.15" customHeight="1">
      <c r="A22" s="32">
        <f t="shared" si="0"/>
        <v>13</v>
      </c>
      <c r="B22" s="57"/>
      <c r="C22" s="58"/>
      <c r="D22" s="19" t="s">
        <v>58</v>
      </c>
      <c r="E22" s="55" t="s">
        <v>59</v>
      </c>
      <c r="F22" s="55"/>
      <c r="G22" s="38"/>
      <c r="H22" s="82"/>
      <c r="I22" s="34"/>
      <c r="J22" s="82"/>
      <c r="K22" s="33"/>
      <c r="L22" s="16"/>
      <c r="M22" s="16"/>
    </row>
    <row r="23" spans="1:13" ht="40.15" customHeight="1">
      <c r="A23" s="32">
        <f t="shared" si="0"/>
        <v>14</v>
      </c>
      <c r="B23" s="57"/>
      <c r="C23" s="58"/>
      <c r="D23" s="19" t="s">
        <v>60</v>
      </c>
      <c r="E23" s="55" t="s">
        <v>61</v>
      </c>
      <c r="F23" s="55"/>
      <c r="G23" s="38"/>
      <c r="H23" s="82"/>
      <c r="I23" s="34"/>
      <c r="J23" s="82"/>
      <c r="K23" s="33"/>
      <c r="L23" s="16"/>
      <c r="M23" s="16"/>
    </row>
    <row r="24" spans="1:13" ht="42" customHeight="1">
      <c r="A24" s="32">
        <f t="shared" si="0"/>
        <v>15</v>
      </c>
      <c r="B24" s="57"/>
      <c r="C24" s="58"/>
      <c r="D24" s="19" t="s">
        <v>62</v>
      </c>
      <c r="E24" s="55" t="s">
        <v>63</v>
      </c>
      <c r="F24" s="55"/>
      <c r="G24" s="38"/>
      <c r="H24" s="82"/>
      <c r="I24" s="34"/>
      <c r="J24" s="82"/>
      <c r="K24" s="33"/>
      <c r="L24" s="16"/>
      <c r="M24" s="16"/>
    </row>
    <row r="25" spans="1:13" ht="40.15" customHeight="1">
      <c r="A25" s="32">
        <f t="shared" si="0"/>
        <v>16</v>
      </c>
      <c r="B25" s="57"/>
      <c r="C25" s="58" t="s">
        <v>64</v>
      </c>
      <c r="D25" s="19" t="s">
        <v>65</v>
      </c>
      <c r="E25" s="55" t="s">
        <v>66</v>
      </c>
      <c r="F25" s="55"/>
      <c r="G25" s="38"/>
      <c r="H25" s="82"/>
      <c r="I25" s="34"/>
      <c r="J25" s="82"/>
      <c r="K25" s="33"/>
      <c r="L25" s="16"/>
      <c r="M25" s="16"/>
    </row>
    <row r="26" spans="1:13" ht="40.15" customHeight="1">
      <c r="A26" s="32">
        <f t="shared" si="0"/>
        <v>17</v>
      </c>
      <c r="B26" s="57"/>
      <c r="C26" s="58"/>
      <c r="D26" s="19" t="s">
        <v>67</v>
      </c>
      <c r="E26" s="55" t="s">
        <v>68</v>
      </c>
      <c r="F26" s="55"/>
      <c r="G26" s="38"/>
      <c r="H26" s="82"/>
      <c r="I26" s="34"/>
      <c r="J26" s="82"/>
      <c r="K26" s="33"/>
      <c r="L26" s="16"/>
      <c r="M26" s="16"/>
    </row>
    <row r="27" spans="1:13" ht="40.15" customHeight="1">
      <c r="A27" s="32">
        <f t="shared" si="0"/>
        <v>18</v>
      </c>
      <c r="B27" s="57"/>
      <c r="C27" s="58"/>
      <c r="D27" s="19" t="s">
        <v>69</v>
      </c>
      <c r="E27" s="55" t="s">
        <v>70</v>
      </c>
      <c r="F27" s="55"/>
      <c r="G27" s="38"/>
      <c r="H27" s="82"/>
      <c r="I27" s="34"/>
      <c r="J27" s="82"/>
      <c r="K27" s="33"/>
      <c r="L27" s="16"/>
      <c r="M27" s="16"/>
    </row>
    <row r="28" spans="1:13" ht="40.15" customHeight="1">
      <c r="A28" s="32">
        <f t="shared" si="0"/>
        <v>19</v>
      </c>
      <c r="B28" s="57"/>
      <c r="C28" s="58"/>
      <c r="D28" s="19" t="s">
        <v>71</v>
      </c>
      <c r="E28" s="55" t="s">
        <v>72</v>
      </c>
      <c r="F28" s="55"/>
      <c r="G28" s="38"/>
      <c r="H28" s="82"/>
      <c r="I28" s="34"/>
      <c r="J28" s="82"/>
      <c r="K28" s="33"/>
      <c r="L28" s="16"/>
      <c r="M28" s="16"/>
    </row>
    <row r="29" spans="1:13" ht="31.9" customHeight="1">
      <c r="A29" s="32">
        <f t="shared" si="0"/>
        <v>20</v>
      </c>
      <c r="B29" s="57"/>
      <c r="C29" s="58"/>
      <c r="D29" s="19" t="s">
        <v>73</v>
      </c>
      <c r="E29" s="55" t="s">
        <v>74</v>
      </c>
      <c r="F29" s="55"/>
      <c r="G29" s="38"/>
      <c r="H29" s="82"/>
      <c r="I29" s="34"/>
      <c r="J29" s="82"/>
      <c r="K29" s="33"/>
      <c r="L29" s="16"/>
      <c r="M29" s="16"/>
    </row>
    <row r="30" spans="1:13" ht="40.15" customHeight="1">
      <c r="A30" s="32">
        <f t="shared" si="0"/>
        <v>21</v>
      </c>
      <c r="B30" s="57"/>
      <c r="C30" s="29" t="s">
        <v>75</v>
      </c>
      <c r="D30" s="19" t="s">
        <v>76</v>
      </c>
      <c r="E30" s="55" t="s">
        <v>77</v>
      </c>
      <c r="F30" s="55"/>
      <c r="G30" s="38"/>
      <c r="H30" s="82"/>
      <c r="I30" s="34"/>
      <c r="J30" s="82"/>
      <c r="K30" s="33"/>
      <c r="L30" s="16"/>
      <c r="M30" s="16"/>
    </row>
    <row r="31" spans="1:13" ht="40.15" customHeight="1">
      <c r="A31" s="32">
        <f t="shared" si="0"/>
        <v>22</v>
      </c>
      <c r="B31" s="57" t="s">
        <v>78</v>
      </c>
      <c r="C31" s="58" t="s">
        <v>79</v>
      </c>
      <c r="D31" s="19" t="s">
        <v>80</v>
      </c>
      <c r="E31" s="55" t="s">
        <v>81</v>
      </c>
      <c r="F31" s="55"/>
      <c r="G31" s="38"/>
      <c r="H31" s="82"/>
      <c r="I31" s="34"/>
      <c r="J31" s="82"/>
      <c r="K31" s="33"/>
      <c r="L31" s="16"/>
      <c r="M31" s="16"/>
    </row>
    <row r="32" spans="1:13" ht="42.6" customHeight="1">
      <c r="A32" s="32">
        <f t="shared" si="0"/>
        <v>23</v>
      </c>
      <c r="B32" s="57"/>
      <c r="C32" s="58"/>
      <c r="D32" s="19" t="s">
        <v>82</v>
      </c>
      <c r="E32" s="60" t="s">
        <v>83</v>
      </c>
      <c r="F32" s="60"/>
      <c r="G32" s="38"/>
      <c r="H32" s="82"/>
      <c r="I32" s="34"/>
      <c r="J32" s="82"/>
      <c r="K32" s="33"/>
      <c r="L32" s="16"/>
      <c r="M32" s="16"/>
    </row>
    <row r="33" spans="1:13" ht="40.15" customHeight="1">
      <c r="A33" s="32">
        <f t="shared" si="0"/>
        <v>24</v>
      </c>
      <c r="B33" s="57"/>
      <c r="C33" s="58"/>
      <c r="D33" s="19" t="s">
        <v>84</v>
      </c>
      <c r="E33" s="60" t="s">
        <v>85</v>
      </c>
      <c r="F33" s="60"/>
      <c r="G33" s="38"/>
      <c r="H33" s="82"/>
      <c r="I33" s="34"/>
      <c r="J33" s="82"/>
      <c r="K33" s="33"/>
      <c r="L33" s="16"/>
      <c r="M33" s="16"/>
    </row>
    <row r="34" spans="1:13" ht="40.15" customHeight="1">
      <c r="A34" s="32">
        <f t="shared" si="0"/>
        <v>25</v>
      </c>
      <c r="B34" s="57"/>
      <c r="C34" s="58" t="s">
        <v>86</v>
      </c>
      <c r="D34" s="19" t="s">
        <v>87</v>
      </c>
      <c r="E34" s="60" t="s">
        <v>88</v>
      </c>
      <c r="F34" s="60"/>
      <c r="G34" s="38"/>
      <c r="H34" s="82"/>
      <c r="I34" s="34"/>
      <c r="J34" s="82"/>
      <c r="K34" s="33"/>
      <c r="L34" s="16"/>
      <c r="M34" s="16"/>
    </row>
    <row r="35" spans="1:13" ht="40.15" customHeight="1">
      <c r="A35" s="32">
        <f t="shared" si="0"/>
        <v>26</v>
      </c>
      <c r="B35" s="57"/>
      <c r="C35" s="58"/>
      <c r="D35" s="19" t="s">
        <v>89</v>
      </c>
      <c r="E35" s="55" t="s">
        <v>90</v>
      </c>
      <c r="F35" s="55"/>
      <c r="G35" s="38"/>
      <c r="H35" s="82"/>
      <c r="I35" s="34"/>
      <c r="J35" s="82"/>
      <c r="K35" s="33"/>
      <c r="L35" s="16"/>
      <c r="M35" s="16"/>
    </row>
    <row r="36" spans="1:13" ht="40.15" customHeight="1">
      <c r="A36" s="32">
        <f t="shared" si="0"/>
        <v>27</v>
      </c>
      <c r="B36" s="57"/>
      <c r="C36" s="58"/>
      <c r="D36" s="19" t="s">
        <v>91</v>
      </c>
      <c r="E36" s="55" t="s">
        <v>92</v>
      </c>
      <c r="F36" s="55"/>
      <c r="G36" s="38"/>
      <c r="H36" s="82"/>
      <c r="I36" s="34"/>
      <c r="J36" s="82"/>
      <c r="K36" s="33"/>
      <c r="L36" s="16"/>
      <c r="M36" s="16"/>
    </row>
    <row r="37" spans="1:13" ht="63" customHeight="1">
      <c r="A37" s="32">
        <f t="shared" si="0"/>
        <v>28</v>
      </c>
      <c r="B37" s="57" t="s">
        <v>93</v>
      </c>
      <c r="C37" s="58" t="s">
        <v>94</v>
      </c>
      <c r="D37" s="19" t="s">
        <v>95</v>
      </c>
      <c r="E37" s="55" t="s">
        <v>96</v>
      </c>
      <c r="F37" s="55"/>
      <c r="G37" s="38"/>
      <c r="H37" s="82"/>
      <c r="I37" s="34"/>
      <c r="J37" s="82"/>
      <c r="K37" s="33"/>
      <c r="L37" s="16"/>
      <c r="M37" s="16"/>
    </row>
    <row r="38" spans="1:13" ht="40.15" customHeight="1">
      <c r="A38" s="32">
        <f t="shared" si="0"/>
        <v>29</v>
      </c>
      <c r="B38" s="57"/>
      <c r="C38" s="58"/>
      <c r="D38" s="19" t="s">
        <v>97</v>
      </c>
      <c r="E38" s="55" t="s">
        <v>98</v>
      </c>
      <c r="F38" s="55"/>
      <c r="G38" s="38"/>
      <c r="H38" s="82"/>
      <c r="I38" s="34"/>
      <c r="J38" s="82"/>
      <c r="K38" s="33"/>
      <c r="L38" s="16"/>
      <c r="M38" s="16"/>
    </row>
    <row r="39" spans="1:13" ht="40.15" customHeight="1">
      <c r="A39" s="32">
        <f t="shared" si="0"/>
        <v>30</v>
      </c>
      <c r="B39" s="57"/>
      <c r="C39" s="58" t="s">
        <v>99</v>
      </c>
      <c r="D39" s="19" t="s">
        <v>100</v>
      </c>
      <c r="E39" s="55" t="s">
        <v>101</v>
      </c>
      <c r="F39" s="55"/>
      <c r="G39" s="38"/>
      <c r="H39" s="82"/>
      <c r="I39" s="34"/>
      <c r="J39" s="82"/>
      <c r="K39" s="33"/>
      <c r="L39" s="16"/>
      <c r="M39" s="16"/>
    </row>
    <row r="40" spans="1:13" ht="40.15" customHeight="1">
      <c r="A40" s="32">
        <f t="shared" si="0"/>
        <v>31</v>
      </c>
      <c r="B40" s="57"/>
      <c r="C40" s="58"/>
      <c r="D40" s="19" t="s">
        <v>102</v>
      </c>
      <c r="E40" s="55" t="s">
        <v>103</v>
      </c>
      <c r="F40" s="55"/>
      <c r="G40" s="38"/>
      <c r="H40" s="82"/>
      <c r="I40" s="34"/>
      <c r="J40" s="82"/>
      <c r="K40" s="39"/>
      <c r="L40" s="17"/>
      <c r="M40" s="46"/>
    </row>
    <row r="41" spans="1:13" ht="39.6" customHeight="1">
      <c r="A41" s="32">
        <f t="shared" si="0"/>
        <v>32</v>
      </c>
      <c r="B41" s="57"/>
      <c r="C41" s="58"/>
      <c r="D41" s="19" t="s">
        <v>104</v>
      </c>
      <c r="E41" s="55" t="s">
        <v>105</v>
      </c>
      <c r="F41" s="61"/>
      <c r="G41" s="38"/>
      <c r="H41" s="82"/>
      <c r="I41" s="34"/>
      <c r="J41" s="82"/>
      <c r="K41" s="39"/>
      <c r="L41" s="17"/>
      <c r="M41" s="46"/>
    </row>
    <row r="42" spans="1:13" ht="52.9" customHeight="1">
      <c r="A42" s="32">
        <f t="shared" si="0"/>
        <v>33</v>
      </c>
      <c r="B42" s="57"/>
      <c r="C42" s="58"/>
      <c r="D42" s="19" t="s">
        <v>106</v>
      </c>
      <c r="E42" s="55" t="s">
        <v>107</v>
      </c>
      <c r="F42" s="55"/>
      <c r="G42" s="38"/>
      <c r="H42" s="82"/>
      <c r="I42" s="34"/>
      <c r="J42" s="82"/>
      <c r="K42" s="39"/>
      <c r="L42" s="17"/>
      <c r="M42" s="46"/>
    </row>
    <row r="43" spans="1:13" ht="57" customHeight="1">
      <c r="A43" s="32">
        <f t="shared" si="0"/>
        <v>34</v>
      </c>
      <c r="B43" s="57"/>
      <c r="C43" s="57" t="s">
        <v>108</v>
      </c>
      <c r="D43" s="19" t="s">
        <v>109</v>
      </c>
      <c r="E43" s="55" t="s">
        <v>110</v>
      </c>
      <c r="F43" s="55"/>
      <c r="G43" s="38"/>
      <c r="H43" s="82"/>
      <c r="I43" s="34"/>
      <c r="J43" s="82"/>
      <c r="K43" s="33"/>
      <c r="L43" s="16"/>
      <c r="M43" s="16"/>
    </row>
    <row r="44" spans="1:13" ht="40.15" customHeight="1">
      <c r="A44" s="32">
        <f t="shared" si="0"/>
        <v>35</v>
      </c>
      <c r="B44" s="57"/>
      <c r="C44" s="57"/>
      <c r="D44" s="19" t="s">
        <v>111</v>
      </c>
      <c r="E44" s="56" t="s">
        <v>112</v>
      </c>
      <c r="F44" s="56"/>
      <c r="G44" s="38"/>
      <c r="H44" s="82"/>
      <c r="I44" s="34"/>
      <c r="J44" s="82"/>
      <c r="K44" s="33"/>
      <c r="L44" s="16"/>
      <c r="M44" s="16"/>
    </row>
    <row r="45" spans="1:13" ht="45.6" customHeight="1">
      <c r="A45" s="32">
        <f t="shared" si="0"/>
        <v>36</v>
      </c>
      <c r="B45" s="57"/>
      <c r="C45" s="57" t="s">
        <v>113</v>
      </c>
      <c r="D45" s="19" t="s">
        <v>114</v>
      </c>
      <c r="E45" s="56" t="s">
        <v>115</v>
      </c>
      <c r="F45" s="56"/>
      <c r="G45" s="38"/>
      <c r="H45" s="82"/>
      <c r="I45" s="34"/>
      <c r="J45" s="82"/>
      <c r="K45" s="33"/>
      <c r="L45" s="16"/>
      <c r="M45" s="16"/>
    </row>
    <row r="46" spans="1:13" ht="40.15" customHeight="1">
      <c r="A46" s="32">
        <f t="shared" si="0"/>
        <v>37</v>
      </c>
      <c r="B46" s="57"/>
      <c r="C46" s="57"/>
      <c r="D46" s="19" t="s">
        <v>116</v>
      </c>
      <c r="E46" s="56" t="s">
        <v>117</v>
      </c>
      <c r="F46" s="56"/>
      <c r="G46" s="38"/>
      <c r="H46" s="82"/>
      <c r="I46" s="34"/>
      <c r="J46" s="82"/>
      <c r="K46" s="33"/>
      <c r="L46" s="16"/>
      <c r="M46" s="16"/>
    </row>
    <row r="47" spans="1:13" ht="40.15" customHeight="1">
      <c r="A47" s="32">
        <f t="shared" si="0"/>
        <v>38</v>
      </c>
      <c r="B47" s="57"/>
      <c r="C47" s="57"/>
      <c r="D47" s="19" t="s">
        <v>118</v>
      </c>
      <c r="E47" s="55" t="s">
        <v>119</v>
      </c>
      <c r="F47" s="55"/>
      <c r="G47" s="38"/>
      <c r="H47" s="82"/>
      <c r="I47" s="34"/>
      <c r="J47" s="82"/>
      <c r="K47" s="33"/>
      <c r="L47" s="16"/>
      <c r="M47" s="16"/>
    </row>
    <row r="48" spans="1:13" ht="42.6" customHeight="1">
      <c r="A48" s="32">
        <f t="shared" si="0"/>
        <v>39</v>
      </c>
      <c r="B48" s="57"/>
      <c r="C48" s="57"/>
      <c r="D48" s="19" t="s">
        <v>120</v>
      </c>
      <c r="E48" s="55" t="s">
        <v>121</v>
      </c>
      <c r="F48" s="55"/>
      <c r="G48" s="38"/>
      <c r="H48" s="82"/>
      <c r="I48" s="34"/>
      <c r="J48" s="82"/>
      <c r="K48" s="33"/>
      <c r="L48" s="16"/>
      <c r="M48" s="16"/>
    </row>
    <row r="49" spans="1:13" ht="40.15" customHeight="1">
      <c r="A49" s="32">
        <f t="shared" si="0"/>
        <v>40</v>
      </c>
      <c r="B49" s="57"/>
      <c r="C49" s="57" t="s">
        <v>122</v>
      </c>
      <c r="D49" s="19" t="s">
        <v>123</v>
      </c>
      <c r="E49" s="55" t="s">
        <v>124</v>
      </c>
      <c r="F49" s="55"/>
      <c r="G49" s="38"/>
      <c r="H49" s="82"/>
      <c r="I49" s="34"/>
      <c r="J49" s="82"/>
      <c r="K49" s="33"/>
      <c r="L49" s="16"/>
      <c r="M49" s="16"/>
    </row>
    <row r="50" spans="1:13" ht="48" customHeight="1">
      <c r="A50" s="32">
        <f t="shared" si="0"/>
        <v>41</v>
      </c>
      <c r="B50" s="57"/>
      <c r="C50" s="57"/>
      <c r="D50" s="19" t="s">
        <v>125</v>
      </c>
      <c r="E50" s="55" t="s">
        <v>126</v>
      </c>
      <c r="F50" s="55"/>
      <c r="G50" s="38"/>
      <c r="H50" s="82"/>
      <c r="I50" s="34"/>
      <c r="J50" s="82"/>
      <c r="K50" s="33"/>
      <c r="L50" s="16"/>
      <c r="M50" s="16"/>
    </row>
    <row r="51" spans="1:13" ht="40.15" customHeight="1">
      <c r="A51" s="32">
        <f t="shared" si="0"/>
        <v>42</v>
      </c>
      <c r="B51" s="57"/>
      <c r="C51" s="57"/>
      <c r="D51" s="19" t="s">
        <v>127</v>
      </c>
      <c r="E51" s="55" t="s">
        <v>128</v>
      </c>
      <c r="F51" s="55"/>
      <c r="G51" s="38"/>
      <c r="H51" s="82"/>
      <c r="I51" s="34"/>
      <c r="J51" s="82"/>
      <c r="K51" s="33"/>
      <c r="L51" s="16"/>
      <c r="M51" s="16"/>
    </row>
    <row r="52" spans="1:13" ht="40.15" customHeight="1">
      <c r="A52" s="32">
        <f t="shared" si="0"/>
        <v>43</v>
      </c>
      <c r="B52" s="57"/>
      <c r="C52" s="19" t="s">
        <v>129</v>
      </c>
      <c r="D52" s="19" t="s">
        <v>130</v>
      </c>
      <c r="E52" s="55" t="s">
        <v>131</v>
      </c>
      <c r="F52" s="55"/>
      <c r="G52" s="38"/>
      <c r="H52" s="82"/>
      <c r="I52" s="34"/>
      <c r="J52" s="82"/>
      <c r="K52" s="33"/>
      <c r="L52" s="16"/>
      <c r="M52" s="16"/>
    </row>
    <row r="53" spans="1:13" ht="40.15" customHeight="1">
      <c r="A53" s="32">
        <f t="shared" si="0"/>
        <v>44</v>
      </c>
      <c r="B53" s="57" t="s">
        <v>132</v>
      </c>
      <c r="C53" s="58" t="s">
        <v>133</v>
      </c>
      <c r="D53" s="19" t="s">
        <v>134</v>
      </c>
      <c r="E53" s="55" t="s">
        <v>135</v>
      </c>
      <c r="F53" s="61"/>
      <c r="G53" s="38"/>
      <c r="H53" s="29"/>
      <c r="I53" s="31"/>
      <c r="J53" s="29"/>
      <c r="K53" s="27"/>
      <c r="L53" s="16"/>
      <c r="M53" s="16"/>
    </row>
    <row r="54" spans="1:13" ht="40.15" customHeight="1">
      <c r="A54" s="32">
        <f t="shared" si="0"/>
        <v>45</v>
      </c>
      <c r="B54" s="57"/>
      <c r="C54" s="58"/>
      <c r="D54" s="19" t="s">
        <v>136</v>
      </c>
      <c r="E54" s="55" t="s">
        <v>137</v>
      </c>
      <c r="F54" s="61"/>
      <c r="G54" s="38"/>
      <c r="H54" s="29"/>
      <c r="I54" s="31"/>
      <c r="J54" s="29"/>
      <c r="K54" s="27"/>
      <c r="L54" s="16"/>
      <c r="M54" s="16"/>
    </row>
    <row r="55" spans="1:13" ht="40.15" customHeight="1">
      <c r="A55" s="32">
        <f t="shared" si="0"/>
        <v>46</v>
      </c>
      <c r="B55" s="57"/>
      <c r="C55" s="58"/>
      <c r="D55" s="19" t="s">
        <v>138</v>
      </c>
      <c r="E55" s="55" t="s">
        <v>139</v>
      </c>
      <c r="F55" s="55"/>
      <c r="G55" s="38"/>
      <c r="H55" s="29"/>
      <c r="I55" s="31"/>
      <c r="J55" s="29"/>
      <c r="K55" s="27"/>
      <c r="L55" s="16"/>
      <c r="M55" s="16"/>
    </row>
    <row r="56" spans="1:13" ht="40.15" customHeight="1">
      <c r="A56" s="32">
        <f t="shared" si="0"/>
        <v>47</v>
      </c>
      <c r="B56" s="57"/>
      <c r="C56" s="19" t="s">
        <v>140</v>
      </c>
      <c r="D56" s="19" t="s">
        <v>141</v>
      </c>
      <c r="E56" s="55" t="s">
        <v>142</v>
      </c>
      <c r="F56" s="61"/>
      <c r="G56" s="38"/>
      <c r="H56" s="29"/>
      <c r="I56" s="31"/>
      <c r="J56" s="29"/>
      <c r="K56" s="27"/>
      <c r="L56" s="16"/>
      <c r="M56" s="16"/>
    </row>
    <row r="57" spans="1:13" ht="48.6" customHeight="1">
      <c r="A57" s="32">
        <f t="shared" si="0"/>
        <v>48</v>
      </c>
      <c r="B57" s="57" t="s">
        <v>143</v>
      </c>
      <c r="C57" s="57" t="s">
        <v>144</v>
      </c>
      <c r="D57" s="19" t="s">
        <v>145</v>
      </c>
      <c r="E57" s="55" t="s">
        <v>146</v>
      </c>
      <c r="F57" s="55"/>
      <c r="G57" s="38"/>
      <c r="H57" s="29"/>
      <c r="I57" s="31"/>
      <c r="J57" s="29"/>
      <c r="K57" s="27"/>
      <c r="L57" s="16"/>
      <c r="M57" s="16"/>
    </row>
    <row r="58" spans="1:13" ht="48" customHeight="1">
      <c r="A58" s="32">
        <f t="shared" si="0"/>
        <v>49</v>
      </c>
      <c r="B58" s="57"/>
      <c r="C58" s="57"/>
      <c r="D58" s="19" t="s">
        <v>147</v>
      </c>
      <c r="E58" s="55" t="s">
        <v>148</v>
      </c>
      <c r="F58" s="55"/>
      <c r="G58" s="38"/>
      <c r="H58" s="29"/>
      <c r="I58" s="31"/>
      <c r="J58" s="29"/>
      <c r="K58" s="27"/>
      <c r="L58" s="16"/>
      <c r="M58" s="16"/>
    </row>
    <row r="59" spans="1:13" ht="50.45" customHeight="1">
      <c r="A59" s="28">
        <f t="shared" si="0"/>
        <v>50</v>
      </c>
      <c r="B59" s="41" t="s">
        <v>149</v>
      </c>
      <c r="C59" s="41" t="s">
        <v>149</v>
      </c>
      <c r="D59" s="41" t="s">
        <v>150</v>
      </c>
      <c r="E59" s="48" t="s">
        <v>151</v>
      </c>
      <c r="F59" s="48"/>
      <c r="G59" s="42"/>
      <c r="H59" s="83"/>
      <c r="I59" s="43"/>
      <c r="J59" s="83"/>
      <c r="K59" s="24"/>
      <c r="L59" s="44"/>
      <c r="M59" s="44"/>
    </row>
    <row r="60" spans="1:13" ht="19.149999999999999" customHeight="1">
      <c r="A60" s="63" t="s">
        <v>152</v>
      </c>
      <c r="B60" s="63"/>
      <c r="C60" s="63"/>
      <c r="D60" s="63"/>
      <c r="E60" s="63"/>
      <c r="F60" s="63"/>
      <c r="G60" s="30">
        <f>SUM(G10:G14,G15:G29,G30:G36,G37:G52,G53:G59)</f>
        <v>0</v>
      </c>
      <c r="H60" s="84"/>
      <c r="I60" s="30">
        <f>SUM(I10:I14,I15:I29,I30:I36,I37:I52,I53:I59)</f>
        <v>0</v>
      </c>
      <c r="J60" s="84"/>
      <c r="K60" s="36"/>
      <c r="L60" s="40"/>
      <c r="M60" s="45">
        <f>IFERROR(COUNTIF(M10:M59,"*Closed*") / COUNTIF(M10:M59,"&lt;&gt;"), 0)</f>
        <v>0</v>
      </c>
    </row>
    <row r="61" spans="1:13" ht="11.45" customHeight="1">
      <c r="A61" s="4"/>
      <c r="B61" s="5"/>
      <c r="C61" s="5"/>
      <c r="D61" s="5"/>
      <c r="E61" s="3"/>
      <c r="F61" s="3"/>
      <c r="G61" s="3"/>
      <c r="H61" s="4"/>
      <c r="I61" s="20"/>
      <c r="J61" s="4"/>
      <c r="K61" s="20"/>
      <c r="L61" s="4"/>
      <c r="M61" s="4"/>
    </row>
    <row r="62" spans="1:13" ht="64.150000000000006" customHeight="1">
      <c r="A62" s="64" t="s">
        <v>153</v>
      </c>
      <c r="B62" s="64"/>
      <c r="C62" s="64"/>
      <c r="D62" s="18"/>
      <c r="E62" s="3"/>
      <c r="F62" s="3"/>
      <c r="G62" s="3"/>
      <c r="H62" s="4"/>
      <c r="I62" s="20"/>
      <c r="J62" s="4"/>
      <c r="K62" s="20"/>
      <c r="L62" s="4"/>
      <c r="M62" s="4"/>
    </row>
    <row r="63" spans="1:13" ht="13.9" customHeight="1">
      <c r="A63" s="4"/>
      <c r="B63" s="62"/>
      <c r="C63" s="62"/>
      <c r="D63" s="62"/>
      <c r="E63" s="62"/>
      <c r="F63" s="3"/>
      <c r="G63" s="3"/>
      <c r="H63" s="4"/>
      <c r="I63" s="20"/>
      <c r="J63" s="4"/>
      <c r="K63" s="20"/>
      <c r="L63" s="4"/>
      <c r="M63" s="4"/>
    </row>
    <row r="64" spans="1:13" ht="13.9" customHeight="1">
      <c r="A64" s="4"/>
      <c r="B64" s="62"/>
      <c r="C64" s="62"/>
      <c r="D64" s="62"/>
      <c r="E64" s="62"/>
      <c r="F64" s="3"/>
      <c r="G64" s="3"/>
      <c r="H64" s="4"/>
      <c r="I64" s="20"/>
      <c r="J64" s="4"/>
      <c r="K64" s="20"/>
      <c r="L64" s="4"/>
      <c r="M64" s="4"/>
    </row>
    <row r="65" spans="1:13" ht="15.75">
      <c r="A65" s="4"/>
      <c r="B65" s="62"/>
      <c r="C65" s="62"/>
      <c r="D65" s="62"/>
      <c r="E65" s="62"/>
      <c r="F65" s="3"/>
      <c r="G65" s="3"/>
      <c r="H65" s="4"/>
      <c r="I65" s="20"/>
      <c r="J65" s="4"/>
      <c r="K65" s="20"/>
      <c r="L65" s="4"/>
      <c r="M65" s="4"/>
    </row>
    <row r="66" spans="1:13" ht="15.75">
      <c r="A66" s="4"/>
      <c r="B66" s="62"/>
      <c r="C66" s="62"/>
      <c r="D66" s="62"/>
      <c r="E66" s="62"/>
      <c r="F66" s="3"/>
      <c r="G66" s="3"/>
      <c r="H66" s="4"/>
      <c r="I66" s="20"/>
      <c r="J66" s="4"/>
      <c r="K66" s="20"/>
      <c r="L66" s="4"/>
      <c r="M66" s="4"/>
    </row>
    <row r="67" spans="1:13" ht="15.75">
      <c r="A67" s="4"/>
      <c r="B67" s="62"/>
      <c r="C67" s="62"/>
      <c r="D67" s="62"/>
      <c r="E67" s="62"/>
      <c r="F67" s="3"/>
      <c r="G67" s="3"/>
      <c r="H67" s="4"/>
      <c r="I67" s="20"/>
      <c r="J67" s="4"/>
      <c r="K67" s="20"/>
      <c r="L67" s="4"/>
      <c r="M67" s="4"/>
    </row>
    <row r="68" spans="1:13" ht="15.75">
      <c r="A68" s="4"/>
      <c r="B68" s="62"/>
      <c r="C68" s="62"/>
      <c r="D68" s="62"/>
      <c r="E68" s="62"/>
      <c r="F68" s="3"/>
      <c r="G68" s="3"/>
      <c r="H68" s="4"/>
      <c r="I68" s="20"/>
      <c r="J68" s="4"/>
      <c r="K68" s="20"/>
      <c r="L68" s="4"/>
      <c r="M68" s="4"/>
    </row>
    <row r="69" spans="1:13" ht="15.75">
      <c r="A69" s="4"/>
      <c r="B69" s="62"/>
      <c r="C69" s="62"/>
      <c r="D69" s="62"/>
      <c r="E69" s="62"/>
      <c r="F69" s="3"/>
      <c r="G69" s="3"/>
      <c r="H69" s="4"/>
      <c r="I69" s="20"/>
      <c r="J69" s="4"/>
      <c r="K69" s="20"/>
      <c r="L69" s="4"/>
      <c r="M69" s="4"/>
    </row>
    <row r="70" spans="1:13" ht="15.75">
      <c r="A70" s="4"/>
      <c r="B70" s="62"/>
      <c r="C70" s="62"/>
      <c r="D70" s="62"/>
      <c r="E70" s="62"/>
      <c r="F70" s="3"/>
      <c r="G70" s="3"/>
      <c r="H70" s="4"/>
      <c r="I70" s="20"/>
      <c r="J70" s="4"/>
      <c r="K70" s="20"/>
      <c r="L70" s="4"/>
      <c r="M70" s="4"/>
    </row>
    <row r="71" spans="1:13" ht="15.75">
      <c r="A71" s="4"/>
      <c r="B71" s="62"/>
      <c r="C71" s="62"/>
      <c r="D71" s="62"/>
      <c r="E71" s="62"/>
      <c r="F71" s="3"/>
      <c r="G71" s="3"/>
      <c r="H71" s="4"/>
      <c r="I71" s="20"/>
      <c r="J71" s="4"/>
      <c r="K71" s="20"/>
      <c r="L71" s="4"/>
      <c r="M71" s="4"/>
    </row>
    <row r="72" spans="1:13">
      <c r="B72" s="59"/>
      <c r="C72" s="59"/>
      <c r="D72" s="59"/>
      <c r="E72" s="59"/>
    </row>
    <row r="73" spans="1:13">
      <c r="B73" s="59"/>
      <c r="C73" s="59"/>
      <c r="D73" s="59"/>
      <c r="E73" s="59"/>
    </row>
    <row r="74" spans="1:13">
      <c r="B74" s="59"/>
      <c r="C74" s="59"/>
      <c r="D74" s="59"/>
      <c r="E74" s="59"/>
    </row>
    <row r="75" spans="1:13">
      <c r="B75" s="59"/>
      <c r="C75" s="59"/>
      <c r="D75" s="59"/>
      <c r="E75" s="59"/>
    </row>
  </sheetData>
  <mergeCells count="99">
    <mergeCell ref="B57:B58"/>
    <mergeCell ref="C57:C58"/>
    <mergeCell ref="E57:F57"/>
    <mergeCell ref="E58:F58"/>
    <mergeCell ref="A1:B4"/>
    <mergeCell ref="A8:A9"/>
    <mergeCell ref="B8:B9"/>
    <mergeCell ref="C8:C9"/>
    <mergeCell ref="E8:F9"/>
    <mergeCell ref="E15:F15"/>
    <mergeCell ref="B15:B30"/>
    <mergeCell ref="C15:C20"/>
    <mergeCell ref="E16:F16"/>
    <mergeCell ref="E17:F17"/>
    <mergeCell ref="E18:F18"/>
    <mergeCell ref="E19:F19"/>
    <mergeCell ref="L8:L9"/>
    <mergeCell ref="M8:M9"/>
    <mergeCell ref="B10:B14"/>
    <mergeCell ref="C10:C14"/>
    <mergeCell ref="E10:F10"/>
    <mergeCell ref="E11:F11"/>
    <mergeCell ref="E12:F12"/>
    <mergeCell ref="E13:F13"/>
    <mergeCell ref="E14:F14"/>
    <mergeCell ref="K8:K9"/>
    <mergeCell ref="H8:H9"/>
    <mergeCell ref="E30:F30"/>
    <mergeCell ref="E20:F20"/>
    <mergeCell ref="C21:C24"/>
    <mergeCell ref="E21:F21"/>
    <mergeCell ref="E22:F22"/>
    <mergeCell ref="E23:F23"/>
    <mergeCell ref="E24:F24"/>
    <mergeCell ref="C25:C29"/>
    <mergeCell ref="E25:F25"/>
    <mergeCell ref="E26:F26"/>
    <mergeCell ref="E29:F29"/>
    <mergeCell ref="E27:F27"/>
    <mergeCell ref="E28:F28"/>
    <mergeCell ref="E39:F39"/>
    <mergeCell ref="E40:F40"/>
    <mergeCell ref="C45:C48"/>
    <mergeCell ref="E45:F45"/>
    <mergeCell ref="E46:F46"/>
    <mergeCell ref="E47:F47"/>
    <mergeCell ref="E48:F48"/>
    <mergeCell ref="E41:F41"/>
    <mergeCell ref="E42:F42"/>
    <mergeCell ref="C43:C44"/>
    <mergeCell ref="E43:F43"/>
    <mergeCell ref="B71:E71"/>
    <mergeCell ref="E52:F52"/>
    <mergeCell ref="B67:E67"/>
    <mergeCell ref="B68:E68"/>
    <mergeCell ref="B69:E69"/>
    <mergeCell ref="B70:E70"/>
    <mergeCell ref="E56:F56"/>
    <mergeCell ref="A60:F60"/>
    <mergeCell ref="A62:C62"/>
    <mergeCell ref="B63:E63"/>
    <mergeCell ref="B64:E64"/>
    <mergeCell ref="B53:B56"/>
    <mergeCell ref="B65:E65"/>
    <mergeCell ref="B66:E66"/>
    <mergeCell ref="B37:B52"/>
    <mergeCell ref="C37:C38"/>
    <mergeCell ref="B72:E72"/>
    <mergeCell ref="B73:E73"/>
    <mergeCell ref="B74:E74"/>
    <mergeCell ref="B75:E75"/>
    <mergeCell ref="E35:F35"/>
    <mergeCell ref="C34:C36"/>
    <mergeCell ref="E36:F36"/>
    <mergeCell ref="B31:B36"/>
    <mergeCell ref="E33:F33"/>
    <mergeCell ref="E34:F34"/>
    <mergeCell ref="E31:F31"/>
    <mergeCell ref="E32:F32"/>
    <mergeCell ref="C31:C33"/>
    <mergeCell ref="C53:C55"/>
    <mergeCell ref="E53:F53"/>
    <mergeCell ref="E54:F54"/>
    <mergeCell ref="E59:F59"/>
    <mergeCell ref="D8:D9"/>
    <mergeCell ref="I8:I9"/>
    <mergeCell ref="J8:J9"/>
    <mergeCell ref="C1:K2"/>
    <mergeCell ref="C3:K3"/>
    <mergeCell ref="C4:K4"/>
    <mergeCell ref="E55:F55"/>
    <mergeCell ref="E44:F44"/>
    <mergeCell ref="C49:C51"/>
    <mergeCell ref="E49:F49"/>
    <mergeCell ref="E50:F50"/>
    <mergeCell ref="E51:F51"/>
    <mergeCell ref="E37:F37"/>
    <mergeCell ref="E38:F38"/>
    <mergeCell ref="C39:C42"/>
  </mergeCells>
  <pageMargins left="0.35" right="0.35" top="0.35" bottom="0" header="0.3" footer="0.3"/>
  <pageSetup paperSize="9" scale="30" orientation="portrait" r:id="rId1"/>
  <headerFooter>
    <oddHeader xml:space="preserve">&amp;L
</oddHeader>
  </headerFooter>
  <rowBreaks count="1" manualBreakCount="1">
    <brk id="6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11A2BD5575BA4A917BB239B6508BCE" ma:contentTypeVersion="11" ma:contentTypeDescription="Create a new document." ma:contentTypeScope="" ma:versionID="3605aa25d610ef6eeb62d5f19c32ecae">
  <xsd:schema xmlns:xsd="http://www.w3.org/2001/XMLSchema" xmlns:xs="http://www.w3.org/2001/XMLSchema" xmlns:p="http://schemas.microsoft.com/office/2006/metadata/properties" xmlns:ns2="05ef7bf2-7d20-450f-8e1c-cfb68d234e61" xmlns:ns3="28950a56-4079-4df5-a314-831da226a526" targetNamespace="http://schemas.microsoft.com/office/2006/metadata/properties" ma:root="true" ma:fieldsID="e748572ac1f19829c91ddf649334391c" ns2:_="" ns3:_="">
    <xsd:import namespace="05ef7bf2-7d20-450f-8e1c-cfb68d234e61"/>
    <xsd:import namespace="28950a56-4079-4df5-a314-831da226a5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f7bf2-7d20-450f-8e1c-cfb68d234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5a5e7-9a88-48e5-8963-e0c9e874d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50a56-4079-4df5-a314-831da226a5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cd0a41-db16-4bcf-871a-49514104231a}" ma:internalName="TaxCatchAll" ma:showField="CatchAllData" ma:web="28950a56-4079-4df5-a314-831da226a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50a56-4079-4df5-a314-831da226a526" xsi:nil="true"/>
    <lcf76f155ced4ddcb4097134ff3c332f xmlns="05ef7bf2-7d20-450f-8e1c-cfb68d234e61">
      <Terms xmlns="http://schemas.microsoft.com/office/infopath/2007/PartnerControls"/>
    </lcf76f155ced4ddcb4097134ff3c332f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NBQTLMNHZ6MCEOFL3JF2PNQFQ5T3DQDH:ms-officescript%3A%2F%2Fonedrive_business_sharinglink%2Fu!aHR0cHM6Ly9jaW1vcnlpbmRvbmVzaWEtbXkuc2hhcmVwb2ludC5jb20vOnU6L2cvcGVyc29uYWwvYWJkdWxsYWhfZmFyYXVrX2NpbW9yeV9jb20vSVFDbno1Z2lPS3ZhUzZlMkJZZG5zY0JuQVZoeWc2OGdkVHAwS1NCVzNqZzg5b0E"/>
</scriptIds>
</file>

<file path=customXml/itemProps1.xml><?xml version="1.0" encoding="utf-8"?>
<ds:datastoreItem xmlns:ds="http://schemas.openxmlformats.org/officeDocument/2006/customXml" ds:itemID="{3274A394-7C48-4463-B5AF-C44043C98610}"/>
</file>

<file path=customXml/itemProps2.xml><?xml version="1.0" encoding="utf-8"?>
<ds:datastoreItem xmlns:ds="http://schemas.openxmlformats.org/officeDocument/2006/customXml" ds:itemID="{581AAEC3-9285-471F-B345-13B88C4C948A}"/>
</file>

<file path=customXml/itemProps3.xml><?xml version="1.0" encoding="utf-8"?>
<ds:datastoreItem xmlns:ds="http://schemas.openxmlformats.org/officeDocument/2006/customXml" ds:itemID="{27C214DC-EB37-4483-8066-43CC7901A8B3}"/>
</file>

<file path=customXml/itemProps4.xml><?xml version="1.0" encoding="utf-8"?>
<ds:datastoreItem xmlns:ds="http://schemas.openxmlformats.org/officeDocument/2006/customXml" ds:itemID="{C12EC018-4C39-41F8-AA40-46989DAC2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Risma Dwi Untari</dc:creator>
  <cp:keywords/>
  <dc:description/>
  <cp:lastModifiedBy>Abdullah Farauk</cp:lastModifiedBy>
  <cp:revision/>
  <dcterms:created xsi:type="dcterms:W3CDTF">2025-08-06T09:56:32Z</dcterms:created>
  <dcterms:modified xsi:type="dcterms:W3CDTF">2026-04-22T04:44:20Z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0x0101000011A2BD5575BA4A917BB239B6508BCE</vt:lpwstr>
  </property>
  <property fmtid="{D5CDD505-2E9C-101B-9397-08002B2CF9AE}" pid="3" name="MediaServiceImageTags">
    <vt:lpwstr/>
  </property>
</Properties>
</file>